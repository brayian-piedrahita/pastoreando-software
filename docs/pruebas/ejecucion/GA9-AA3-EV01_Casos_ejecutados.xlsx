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Otros ordenadores\Mi portátil\Desktop\Recuperados\TECNOLOGIA EN ANALISIS Y DESARROLLO DE SOFTWARE\FASE 9\G9-AA2 EVIDENCIAS\AA1\"/>
    </mc:Choice>
  </mc:AlternateContent>
  <xr:revisionPtr revIDLastSave="0" documentId="13_ncr:1_{DEF57BA6-2FF1-496D-BE45-86B775CC89C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ortada" sheetId="1" r:id="rId1"/>
    <sheet name="Casos de prueba" sheetId="2" r:id="rId2"/>
    <sheet name="Ficha de caso" sheetId="3" r:id="rId3"/>
    <sheet name="Ambiente de pruebas" sheetId="4" r:id="rId4"/>
    <sheet name="Trazabilidad" sheetId="5" r:id="rId5"/>
    <sheet name="Listas" sheetId="6" state="hidden" r:id="rId6"/>
  </sheets>
  <definedNames>
    <definedName name="_xlnm._FilterDatabase" localSheetId="1" hidden="1">'Casos de prueba'!$A$4:$U$63</definedName>
    <definedName name="_xlnm.Print_Area" localSheetId="2">'Ficha de caso'!$A$1:$B$24</definedName>
    <definedName name="_xlnm.Print_Titles" localSheetId="1">'Casos de prueba'!$3:$4</definedName>
  </definedNames>
  <calcPr fullCalcOnLoad="1"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5" l="1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J13" i="5"/>
  <c r="I13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I10" i="5" s="1"/>
  <c r="J10" i="5" s="1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H18" i="5" s="1"/>
  <c r="G5" i="5"/>
  <c r="G18" i="5" s="1"/>
  <c r="F5" i="5"/>
  <c r="F18" i="5" s="1"/>
  <c r="E5" i="5"/>
  <c r="E18" i="5" s="1"/>
  <c r="D5" i="5"/>
  <c r="J68" i="4"/>
  <c r="I68" i="4"/>
  <c r="H68" i="4"/>
  <c r="G68" i="4"/>
  <c r="F68" i="4"/>
  <c r="E68" i="4"/>
  <c r="D68" i="4"/>
  <c r="C68" i="4"/>
  <c r="K68" i="4" s="1"/>
  <c r="J67" i="4"/>
  <c r="I67" i="4"/>
  <c r="H67" i="4"/>
  <c r="G67" i="4"/>
  <c r="F67" i="4"/>
  <c r="E67" i="4"/>
  <c r="D67" i="4"/>
  <c r="C67" i="4"/>
  <c r="K67" i="4" s="1"/>
  <c r="J66" i="4"/>
  <c r="I66" i="4"/>
  <c r="H66" i="4"/>
  <c r="G66" i="4"/>
  <c r="F66" i="4"/>
  <c r="E66" i="4"/>
  <c r="D66" i="4"/>
  <c r="C66" i="4"/>
  <c r="K66" i="4" s="1"/>
  <c r="J65" i="4"/>
  <c r="I65" i="4"/>
  <c r="I69" i="4" s="1"/>
  <c r="H65" i="4"/>
  <c r="K65" i="4" s="1"/>
  <c r="G65" i="4"/>
  <c r="F65" i="4"/>
  <c r="E65" i="4"/>
  <c r="D65" i="4"/>
  <c r="C65" i="4"/>
  <c r="J64" i="4"/>
  <c r="I64" i="4"/>
  <c r="H64" i="4"/>
  <c r="H69" i="4" s="1"/>
  <c r="G64" i="4"/>
  <c r="G69" i="4" s="1"/>
  <c r="F64" i="4"/>
  <c r="E64" i="4"/>
  <c r="K64" i="4" s="1"/>
  <c r="D64" i="4"/>
  <c r="C64" i="4"/>
  <c r="J63" i="4"/>
  <c r="I63" i="4"/>
  <c r="H63" i="4"/>
  <c r="G63" i="4"/>
  <c r="F63" i="4"/>
  <c r="F69" i="4" s="1"/>
  <c r="E63" i="4"/>
  <c r="E69" i="4" s="1"/>
  <c r="D63" i="4"/>
  <c r="D69" i="4" s="1"/>
  <c r="C63" i="4"/>
  <c r="J62" i="4"/>
  <c r="I62" i="4"/>
  <c r="H62" i="4"/>
  <c r="G62" i="4"/>
  <c r="F62" i="4"/>
  <c r="E62" i="4"/>
  <c r="D62" i="4"/>
  <c r="C62" i="4"/>
  <c r="J61" i="4"/>
  <c r="I61" i="4"/>
  <c r="H61" i="4"/>
  <c r="G61" i="4"/>
  <c r="F61" i="4"/>
  <c r="E61" i="4"/>
  <c r="D61" i="4"/>
  <c r="C61" i="4"/>
  <c r="K61" i="4" s="1"/>
  <c r="J60" i="4"/>
  <c r="I60" i="4"/>
  <c r="H60" i="4"/>
  <c r="G60" i="4"/>
  <c r="F60" i="4"/>
  <c r="E60" i="4"/>
  <c r="D60" i="4"/>
  <c r="C60" i="4"/>
  <c r="K60" i="4" s="1"/>
  <c r="J59" i="4"/>
  <c r="I59" i="4"/>
  <c r="H59" i="4"/>
  <c r="G59" i="4"/>
  <c r="F59" i="4"/>
  <c r="E59" i="4"/>
  <c r="D59" i="4"/>
  <c r="C59" i="4"/>
  <c r="K59" i="4" s="1"/>
  <c r="J58" i="4"/>
  <c r="I58" i="4"/>
  <c r="H58" i="4"/>
  <c r="G58" i="4"/>
  <c r="F58" i="4"/>
  <c r="E58" i="4"/>
  <c r="D58" i="4"/>
  <c r="C58" i="4"/>
  <c r="K58" i="4" s="1"/>
  <c r="J57" i="4"/>
  <c r="I57" i="4"/>
  <c r="H57" i="4"/>
  <c r="G57" i="4"/>
  <c r="F57" i="4"/>
  <c r="E57" i="4"/>
  <c r="K57" i="4" s="1"/>
  <c r="D57" i="4"/>
  <c r="C57" i="4"/>
  <c r="J56" i="4"/>
  <c r="I56" i="4"/>
  <c r="H56" i="4"/>
  <c r="G56" i="4"/>
  <c r="F56" i="4"/>
  <c r="E56" i="4"/>
  <c r="D56" i="4"/>
  <c r="C56" i="4"/>
  <c r="K56" i="4" s="1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19" i="1"/>
  <c r="B18" i="1"/>
  <c r="B17" i="1"/>
  <c r="B16" i="1"/>
  <c r="B15" i="1"/>
  <c r="I17" i="5" l="1"/>
  <c r="J17" i="5" s="1"/>
  <c r="I16" i="5"/>
  <c r="J16" i="5" s="1"/>
  <c r="I15" i="5"/>
  <c r="J15" i="5" s="1"/>
  <c r="I14" i="5"/>
  <c r="J14" i="5" s="1"/>
  <c r="I12" i="5"/>
  <c r="J12" i="5" s="1"/>
  <c r="I11" i="5"/>
  <c r="J11" i="5"/>
  <c r="I9" i="5"/>
  <c r="J9" i="5" s="1"/>
  <c r="I8" i="5"/>
  <c r="J8" i="5" s="1"/>
  <c r="I7" i="5"/>
  <c r="J7" i="5" s="1"/>
  <c r="I6" i="5"/>
  <c r="J6" i="5" s="1"/>
  <c r="D18" i="5"/>
  <c r="D20" i="5"/>
  <c r="B22" i="1" s="1"/>
  <c r="I5" i="5"/>
  <c r="K63" i="4"/>
  <c r="K69" i="4" s="1"/>
  <c r="C69" i="4"/>
  <c r="J69" i="4"/>
  <c r="K62" i="4"/>
  <c r="B21" i="1"/>
  <c r="B20" i="1"/>
  <c r="I18" i="5" l="1"/>
  <c r="J5" i="5"/>
</calcChain>
</file>

<file path=xl/sharedStrings.xml><?xml version="1.0" encoding="utf-8"?>
<sst xmlns="http://schemas.openxmlformats.org/spreadsheetml/2006/main" count="1274" uniqueCount="669">
  <si>
    <t>SERVICIO NACIONAL DE APRENDIZAJE · SENA</t>
  </si>
  <si>
    <t>Formato de seguimiento de casos de prueba ejecutados</t>
  </si>
  <si>
    <t>Proyecto Pastoreando · Tecnólogo en Análisis y Desarrollo de Software · Ficha 3134556</t>
  </si>
  <si>
    <t>Evidencia</t>
  </si>
  <si>
    <t>GA9-220501096-AA3-EV01 · Documentación de las pruebas ejecutadas</t>
  </si>
  <si>
    <t>Actividad</t>
  </si>
  <si>
    <t>GA9-220501096-AA3 · Documentar y realizar pruebas</t>
  </si>
  <si>
    <t>Autor</t>
  </si>
  <si>
    <t>Brayian Jhovany Piedrahita Cortes</t>
  </si>
  <si>
    <t>Instructor</t>
  </si>
  <si>
    <t>Diego Fernando Henao Rojas</t>
  </si>
  <si>
    <t>Centro</t>
  </si>
  <si>
    <t>Centro de Desarrollo Agropecuario · Regional Risaralda</t>
  </si>
  <si>
    <t>Fecha de elaboración</t>
  </si>
  <si>
    <t>26 de octubre de 2026</t>
  </si>
  <si>
    <t>Repositorio</t>
  </si>
  <si>
    <t>https://github.com/brayian-piedrahita/pastoreando-software (etiqueta ga9-aa3-ev01)</t>
  </si>
  <si>
    <t>Estado de los casos (se calcula solo)</t>
  </si>
  <si>
    <t>Casos diseñados</t>
  </si>
  <si>
    <t>Casos críticos</t>
  </si>
  <si>
    <t>Aprobados</t>
  </si>
  <si>
    <t>En seguimiento</t>
  </si>
  <si>
    <t>Rechazados</t>
  </si>
  <si>
    <t>Sin ejecutar</t>
  </si>
  <si>
    <t>Avance de ejecución</t>
  </si>
  <si>
    <t>Requisitos sin ningún caso</t>
  </si>
  <si>
    <t>Contenido del libro</t>
  </si>
  <si>
    <t>Casos de prueba</t>
  </si>
  <si>
    <t>Los casos con los campos del formato: proyecto, nombre, fecha de revisión, descripción, ambiente, herramienta, autor, número, salida esperada, salida obtenida, resultado, seguimiento, severidad, evidencia y firma de aprobación.</t>
  </si>
  <si>
    <t>Ficha de caso</t>
  </si>
  <si>
    <t>Vista de un caso por número, lista para imprimir o guardar en PDF.</t>
  </si>
  <si>
    <t>Ambiente de pruebas</t>
  </si>
  <si>
    <t>Ambientes, software, hardware, datos y usuarios de prueba, diferencias con producción y cobertura por ambiente.</t>
  </si>
  <si>
    <t>Trazabilidad</t>
  </si>
  <si>
    <t>Requisitos contra casos y resultados, con la cobertura de cada uno.</t>
  </si>
  <si>
    <t>Cómo se diligencia</t>
  </si>
  <si>
    <t>Paso 1</t>
  </si>
  <si>
    <t>El número de caso es consecutivo (CP-001, CP-002...) y no se reutiliza.</t>
  </si>
  <si>
    <t>Paso 2</t>
  </si>
  <si>
    <t>Las columnas con fondo amarillo (fecha de revisión, salida obtenida, resultado, seguimiento, severidad, evidencia y firma) se llenan al ejecutar cada caso.</t>
  </si>
  <si>
    <t>Paso 3</t>
  </si>
  <si>
    <t>Resultado: Aprobado, En seguimiento o Rechazado. Si no fue el esperado, se anota en Seguimiento el código del defecto (DEF-001...) y la severidad Alta, Media o Baja.</t>
  </si>
  <si>
    <t>Paso 4</t>
  </si>
  <si>
    <t>La evidencia es la ruta de la captura, del archivo de resultados o de la salida de consola que respalda el resultado.</t>
  </si>
  <si>
    <t>Paso 5</t>
  </si>
  <si>
    <t>Los casos marcados como pendientes de construir se ejecutan cuando exista la funcionalidad; hasta entonces quedan sin ejecutar.</t>
  </si>
  <si>
    <t>Paso 6</t>
  </si>
  <si>
    <t>El caso CP-001 sirve de ejemplo de un caso aprobado a la primera; el CP-007 muestra un defecto (DEF-001) corregido y el caso repetido.</t>
  </si>
  <si>
    <t>Formato de casos de prueba · Pastoreando</t>
  </si>
  <si>
    <t>Los casos se diseñan antes de ejecutar las pruebas. Las columnas con fondo amarillo se diligencian durante la ejecución; el caso 001 ya está ejecutado y sirve de ejemplo del diligenciamiento.</t>
  </si>
  <si>
    <t>DISEÑO DEL CASO</t>
  </si>
  <si>
    <t>EJECUCIÓN Y REGISTRO</t>
  </si>
  <si>
    <t>N° de caso</t>
  </si>
  <si>
    <t>Nombre del proyecto</t>
  </si>
  <si>
    <t>Nombre del caso de prueba</t>
  </si>
  <si>
    <t>Requisito</t>
  </si>
  <si>
    <t>Módulo</t>
  </si>
  <si>
    <t>Tipo de prueba</t>
  </si>
  <si>
    <t>Prioridad</t>
  </si>
  <si>
    <t>Descripción del caso de prueba</t>
  </si>
  <si>
    <t>Ambiente o entorno de prueba</t>
  </si>
  <si>
    <t>Herramienta utilizada</t>
  </si>
  <si>
    <t>Prueba automatizada asociada</t>
  </si>
  <si>
    <t>Autor del caso de prueba</t>
  </si>
  <si>
    <t>Precondiciones y datos de entrada</t>
  </si>
  <si>
    <t>Salida esperada</t>
  </si>
  <si>
    <t>Fecha de revisión</t>
  </si>
  <si>
    <t>Salida obtenida</t>
  </si>
  <si>
    <t>Resultado</t>
  </si>
  <si>
    <t>Seguimiento</t>
  </si>
  <si>
    <t>Severidad</t>
  </si>
  <si>
    <t>Firma de aprobación</t>
  </si>
  <si>
    <t>CP-001</t>
  </si>
  <si>
    <t>Pastoreando</t>
  </si>
  <si>
    <t>Cálculo del costo por cabeza con propósito Carne</t>
  </si>
  <si>
    <t>RF01</t>
  </si>
  <si>
    <t>Costos por unidad ganadera</t>
  </si>
  <si>
    <t>Funcional</t>
  </si>
  <si>
    <t>Crítica</t>
  </si>
  <si>
    <t>Prueba funcional del servicio de cálculo, ejecutada con JMeter: con costos conocidos y 50 animales de carne, el costo final por cabeza debe seguir las reglas de negocio (factor 1,00 y margen del 20 %) y la respuesta debe traer el desglose por rubro.</t>
  </si>
  <si>
    <t>E6 · API: Postman y Apache JMeter 5.6.3 contra la API local con SQLite de pruebas</t>
  </si>
  <si>
    <t>Apache JMeter</t>
  </si>
  <si>
    <t>docs/pruebas/jmeter/pastoreando_carga_basica.jmx</t>
  </si>
  <si>
    <t>API en ejecución; usuario Contador de demostración con sesión iniciada. POST /api/costos/calcular con alimentación 6.000.000, mantenimiento 3.000.000, servicios 1.500.000, impuestos 1.500.000, 50 animales y propósito Carne.</t>
  </si>
  <si>
    <t>Código 200; subtotal 12.000.000; costo base por cabeza 240.000; margen 48.000; costo unitario final 288.000; total del lote 14.400.000; desglose 50 %, 25 %, 12,5 % y 12,5 %; campo id_calculo presente; respuesta en menos de 2000 ms.</t>
  </si>
  <si>
    <t>Código 200; subtotal 12.000.000; costo base 240.000; margen 48.000; costo unitario final 288.000; total 14.400.000; desglose con los porcentajes esperados; id_calculo presente; tiempo medio de 14 ms y máximo de 36 ms en las 50 ejecuciones.</t>
  </si>
  <si>
    <t>Aprobado</t>
  </si>
  <si>
    <t>No aplica</t>
  </si>
  <si>
    <t>docs/pruebas/jmeter/resultados/reporte_resumen.csv (fila 04) y captura del árbol de resultados del taller GA9-AA1-EV01.</t>
  </si>
  <si>
    <t>CP-002</t>
  </si>
  <si>
    <t>Cálculo del costo por cabeza con propósito Leche</t>
  </si>
  <si>
    <t>Prueba funcional de la estrategia de ganado de leche con los mismos costos del caso 001: comprueba que el factor 1,10 se aplique antes del margen del 20 %.</t>
  </si>
  <si>
    <t>Postman</t>
  </si>
  <si>
    <t>tests/test_costos.py y colección Pastoreando_AA5_EV04.postman_collection.json</t>
  </si>
  <si>
    <t>Mismos datos del caso 001 con propósito Leche. Usuario Contador con sesión.</t>
  </si>
  <si>
    <t>Código 200; costo base 240.000; factor 1,10; margen 52.800; costo unitario final 316.800; total del lote 15.840.000.</t>
  </si>
  <si>
    <t>CP-003</t>
  </si>
  <si>
    <t>Cálculo del costo por cabeza con propósito Doble Propósito</t>
  </si>
  <si>
    <t>Unitaria</t>
  </si>
  <si>
    <t>Prueba unitaria de la estrategia de doble propósito: verifica el factor 1,05 y el redondeo a dos decimales.</t>
  </si>
  <si>
    <t>E3 · Backend: pytest con Python 3.13 y SQLite temporal por prueba</t>
  </si>
  <si>
    <t>pytest</t>
  </si>
  <si>
    <t>tests/test_costos.py, tests/test_dominio.py</t>
  </si>
  <si>
    <t>Mismos datos del caso 001 con propósito Doble Propósito.</t>
  </si>
  <si>
    <t>Costo base 240.000; factor 1,05; margen 50.400; costo unitario final 302.400; total del lote 15.120.000.</t>
  </si>
  <si>
    <t>CP-004</t>
  </si>
  <si>
    <t>Desglose de costos por rubro suma 100 %</t>
  </si>
  <si>
    <t>RF02</t>
  </si>
  <si>
    <t>Alta</t>
  </si>
  <si>
    <t>Prueba unitaria del desglose: con los datos del caso 001 cada rubro debe traer valor del lote, valor por cabeza y porcentaje, y los porcentajes deben sumar 100 %.</t>
  </si>
  <si>
    <t>tests/test_costos.py</t>
  </si>
  <si>
    <t>Datos del caso 001.</t>
  </si>
  <si>
    <t>Alimentación 50 %, mantenimiento 25 %, servicios 12,5 % e impuestos 12,5 %; suma 100 %; valor por cabeza de cada rubro coincide con su porcentaje del costo base.</t>
  </si>
  <si>
    <t>CP-005</t>
  </si>
  <si>
    <t>Cálculo de costos con datos inválidos</t>
  </si>
  <si>
    <t>Prueba de valores límite y de partición de equivalencia sobre la entrada del cálculo: animales en 0, negativos o con texto, todos los rubros en cero, rubros negativos y propósito inexistente.</t>
  </si>
  <si>
    <t>tests/test_costos.py, tests/test_validaciones.py</t>
  </si>
  <si>
    <t>Usuario Contador con sesión. Cada entrada inválida se envía por separado.</t>
  </si>
  <si>
    <t>Cada entrada se rechaza con 422 e indica el campo; ningún cálculo inválido queda en el historial.</t>
  </si>
  <si>
    <t>CP-006</t>
  </si>
  <si>
    <t>Permisos del cálculo de costos por rol</t>
  </si>
  <si>
    <t>Seguridad</t>
  </si>
  <si>
    <t>Prueba de seguridad por rol: el Técnico no puede calcular costos; Contador, Propietario y Arrendatario sí.</t>
  </si>
  <si>
    <t>Un usuario de cada rol con sesión iniciada y los datos del caso 001.</t>
  </si>
  <si>
    <t>Técnico recibe 403; los otros tres roles reciben 200.</t>
  </si>
  <si>
    <t>CP-007</t>
  </si>
  <si>
    <t>Desglose interactivo y formulario de costos en pantalla</t>
  </si>
  <si>
    <t>Usabilidad</t>
  </si>
  <si>
    <t>Prueba funcional y de usabilidad en el navegador: se diligencia el formulario, se calcula y se despliega el valor por rubro al tocar cada uno.</t>
  </si>
  <si>
    <t>E1 · Web: Edge en Windows, interfaz Vite (localhost:5173) y API local con SQLite de pruebas</t>
  </si>
  <si>
    <t>Manual (Edge)</t>
  </si>
  <si>
    <t>Manual (sin archivo automático)</t>
  </si>
  <si>
    <t>Sesión de Contador en la pestaña de cálculo; datos del caso 001.</t>
  </si>
  <si>
    <t>El resultado muestra costo por cabeza y total del lote; al tocar un rubro se despliega su valor del lote, su valor por cabeza y su porcentaje; los errores aparecen junto al campo.</t>
  </si>
  <si>
    <t>CP-008</t>
  </si>
  <si>
    <t>Registro de un Propietario con datos válidos</t>
  </si>
  <si>
    <t>Acceso</t>
  </si>
  <si>
    <t>Acceso y sesión</t>
  </si>
  <si>
    <t>Prueba funcional del registro en el navegador: se completa el formulario con datos válidos y luego se inicia sesión con el usuario creado.</t>
  </si>
  <si>
    <t>tests/test_registro.py (equivalente automático)</t>
  </si>
  <si>
    <t>Correo y cédula que no existan en la base; nombre y apellidos solo letras; cédula de 10 dígitos; contraseña de 8 a 72 caracteres con letras y números.</t>
  </si>
  <si>
    <t>Respuesta 201 con el mensaje «Usuario registrado correctamente» y sin la contraseña; el usuario puede iniciar sesión.</t>
  </si>
  <si>
    <t>CP-009</t>
  </si>
  <si>
    <t>Registro con correo o cédula repetidos</t>
  </si>
  <si>
    <t>Prueba funcional del control de unicidad: se intenta registrar un usuario con un correo existente y otro con una cédula existente.</t>
  </si>
  <si>
    <t>tests/test_registro.py</t>
  </si>
  <si>
    <t>Usuario de demostración ya registrado.</t>
  </si>
  <si>
    <t>Ambos intentos responden 409 y no se crea ningún usuario.</t>
  </si>
  <si>
    <t>CP-010</t>
  </si>
  <si>
    <t>Registro de Técnico o Contador sin código de profesional</t>
  </si>
  <si>
    <t>Prueba funcional de la regla de registro profesional: Técnico y Contador deben presentar el código de profesional definido en el servidor.</t>
  </si>
  <si>
    <t>Datos válidos de Técnico y de Contador, primero sin el código y luego con un código incorrecto.</t>
  </si>
  <si>
    <t>El registro se rechaza y no se crea el usuario; Propietario y Arrendatario no requieren código.</t>
  </si>
  <si>
    <t>CP-011</t>
  </si>
  <si>
    <t>Valores límite de cédula y contraseña</t>
  </si>
  <si>
    <t>Prueba de análisis de valores límite: cédula con 5, 6, 12 y 13 dígitos y con letras; contraseña con 7, 8, 72 y 73 caracteres, solo letras y solo números.</t>
  </si>
  <si>
    <t>tests/test_registro.py, tests/test_validaciones.py</t>
  </si>
  <si>
    <t>Resto de campos válidos. Cada valor se prueba por separado.</t>
  </si>
  <si>
    <t>Se aceptan 6 y 12 dígitos y contraseñas de 8 y 72 caracteres con letras y números; los demás se rechazan con 422 y el nombre del campo.</t>
  </si>
  <si>
    <t>CP-012</t>
  </si>
  <si>
    <t>Inicio de sesión correcto con token y rol</t>
  </si>
  <si>
    <t>Prueba funcional de la API con Postman: se inicia sesión con los cuatro roles de demostración y se consulta GET /api/auth/yo con el token.</t>
  </si>
  <si>
    <t>Pastoreando_AA5_EV04.postman_collection.json</t>
  </si>
  <si>
    <t>Usuarios de demostración de cada rol (ver hoja Ambiente de pruebas).</t>
  </si>
  <si>
    <t>Código 200 con token, tipo y usuario; /api/auth/yo devuelve id_usuario, rol y nombre del usuario que inició sesión.</t>
  </si>
  <si>
    <t>CP-013</t>
  </si>
  <si>
    <t>Inicio de sesión con contraseña incorrecta</t>
  </si>
  <si>
    <t>Prueba de seguridad: se envían una contraseña incorrecta y un correo inexistente; la respuesta no debe revelar cuál de los dos datos falló.</t>
  </si>
  <si>
    <t>tests/test_auth.py</t>
  </si>
  <si>
    <t>Usuario de demostración existente y un correo que no existe.</t>
  </si>
  <si>
    <t>Ambos casos responden 401 con el mismo mensaje de error en la autenticación.</t>
  </si>
  <si>
    <t>CP-014</t>
  </si>
  <si>
    <t>Servicio protegido sin token</t>
  </si>
  <si>
    <t>Prueba de seguridad con JMeter: se consulta un servicio protegido sin el encabezado Authorization.</t>
  </si>
  <si>
    <t>API en ejecución; petición 05 del plan de carga.</t>
  </si>
  <si>
    <t>Código 401 en las 50 repeticiones; el servicio no devuelve datos.</t>
  </si>
  <si>
    <t>CP-015</t>
  </si>
  <si>
    <t>Token alterado o vencido</t>
  </si>
  <si>
    <t>Prueba de seguridad: se envía un token con la firma modificada y otro con vigencia vencida a un servicio protegido.</t>
  </si>
  <si>
    <t>Token válido generado en la prueba; se altera un carácter de la firma y se genera otro con vigencia en el pasado.</t>
  </si>
  <si>
    <t>Ambos tokens se rechazan con 401; la sesión vigente dura 60 minutos.</t>
  </si>
  <si>
    <t>CP-016</t>
  </si>
  <si>
    <t>Opciones de la interfaz según el rol</t>
  </si>
  <si>
    <t>Prueba funcional en el navegador: se inicia sesión con cada rol y se revisan las pestañas y botones disponibles.</t>
  </si>
  <si>
    <t>frontend-react/src/pruebas/navegacion.test.jsx (equivalente automático)</t>
  </si>
  <si>
    <t>Un usuario de cada rol.</t>
  </si>
  <si>
    <t>Cada rol ve solo las opciones que le corresponden según los permisos de cada módulo (por ejemplo, el Técnico no calcula costos y el Arrendatario y el Técnico no obtienen reportes); lo que la pantalla no ofrece, el servidor lo rechaza con 403.</t>
  </si>
  <si>
    <t>CP-017</t>
  </si>
  <si>
    <t>Estado NORMAL de carga hasta el 80 %</t>
  </si>
  <si>
    <t>RF04</t>
  </si>
  <si>
    <t>Lotes y monitoreo de carga</t>
  </si>
  <si>
    <t>Prueba unitaria de valores límite sobre la alerta de carga: lote con capacidad 1000 y carga de 799 y de 800 cabezas (79,9 % y 80 %).</t>
  </si>
  <si>
    <t>tests/test_dominio.py, tests/test_lotes.py</t>
  </si>
  <si>
    <t>Lote con capacidad de carga 1000 y contratos activos que sumen 799 y 800 cabezas.</t>
  </si>
  <si>
    <t>Nivel NORMAL en ambos casos; el mensaje no pide acción.</t>
  </si>
  <si>
    <t>CP-018</t>
  </si>
  <si>
    <t>Estado ALERTA entre el 80 % y el 100 %</t>
  </si>
  <si>
    <t>Prueba unitaria de valores límite: carga justo por encima del 80 % y exactamente el 100 %.</t>
  </si>
  <si>
    <t>Lote con capacidad 1000 y cargas de 801 y de 1000 cabezas (80,1 % y 100 %).</t>
  </si>
  <si>
    <t>Nivel ALERTA en ambos casos, con el porcentaje calculado y un mensaje preventivo.</t>
  </si>
  <si>
    <t>CP-019</t>
  </si>
  <si>
    <t>Estado SOBRECARGA por encima del 100 % con sugerencias</t>
  </si>
  <si>
    <t>Prueba unitaria y funcional: carga por encima de la capacidad del lote.</t>
  </si>
  <si>
    <t>Lote con capacidad 1000 y 1001 cabezas (100,1 %), y un caso con exceso mayor.</t>
  </si>
  <si>
    <t>Nivel SOBRECARGA; el campo excedente trae las cabezas sobrantes; la lista de sugerencias trae al menos una acción.</t>
  </si>
  <si>
    <t>CP-020</t>
  </si>
  <si>
    <t>La carga solo suma contratos activos</t>
  </si>
  <si>
    <t>Integración</t>
  </si>
  <si>
    <t>Prueba de integración entre contratos y lotes: se cambia el estado de un contrato y se revisa la carga del lote.</t>
  </si>
  <si>
    <t>tests/test_lotes.py, tests/test_contratos_ganado.py</t>
  </si>
  <si>
    <t>Lote con dos contratos, uno activo y otro que se cambia a un estado no activo.</t>
  </si>
  <si>
    <t>La carga actual es la suma de cabezas de los contratos activos; el contrato no activo no cuenta.</t>
  </si>
  <si>
    <t>CP-021</t>
  </si>
  <si>
    <t>Medidor de carga del lote en pantalla</t>
  </si>
  <si>
    <t>Prueba funcional en el navegador: se abre el monitoreo de carga y se revisa cada tarjeta de lote.</t>
  </si>
  <si>
    <t>frontend-react/src/pruebas/componentes.test.jsx (equivalente automático)</t>
  </si>
  <si>
    <t>Sesión de Propietario con lotes de demostración en niveles distintos.</t>
  </si>
  <si>
    <t>Cada tarjeta muestra carga actual, capacidad, porcentaje, nivel y mensaje; la sobrecarga se muestra en rojo y se distingue de ALERTA y NORMAL.</t>
  </si>
  <si>
    <t>CP-022</t>
  </si>
  <si>
    <t>Creación de lote con datos válidos</t>
  </si>
  <si>
    <t>Prueba funcional de la API con Postman: el Propietario crea un lote y lo consulta por id.</t>
  </si>
  <si>
    <t>Sesión de Propietario; nombre de lote, hectáreas 12,5, capacidad de carga 20 y tipo de pastura.</t>
  </si>
  <si>
    <t>Código 201 con el lote creado; GET del lote responde 200 con los mismos datos.</t>
  </si>
  <si>
    <t>CP-023</t>
  </si>
  <si>
    <t>Lote con hectáreas o capacidad en cero o negativas</t>
  </si>
  <si>
    <t>Prueba de valores límite: hectáreas y capacidad en 0 y en valores negativos.</t>
  </si>
  <si>
    <t>tests/test_lotes.py, tests/test_validaciones.py</t>
  </si>
  <si>
    <t>Sesión de Propietario; resto de campos válidos.</t>
  </si>
  <si>
    <t>Cada intento responde 422 e indica el campo; no se crea el lote.</t>
  </si>
  <si>
    <t>CP-024</t>
  </si>
  <si>
    <t>El Arrendatario no puede crear lotes</t>
  </si>
  <si>
    <t>Prueba de seguridad por rol: un Arrendatario intenta crear y otro rol intenta editar un lote ajeno.</t>
  </si>
  <si>
    <t>tests/test_lotes.py</t>
  </si>
  <si>
    <t>Sesión de Arrendatario y sesión de un Propietario distinto del dueño del lote.</t>
  </si>
  <si>
    <t>Ambos reciben 403; el lote no cambia.</t>
  </si>
  <si>
    <t>CP-025</t>
  </si>
  <si>
    <t>Valor mensual y total del contrato</t>
  </si>
  <si>
    <t>RF05</t>
  </si>
  <si>
    <t>Contratos y ganado</t>
  </si>
  <si>
    <t>Prueba funcional en el navegador con los datos de demostración: se consulta el contrato 0001 del Arrendatario.</t>
  </si>
  <si>
    <t>tests/test_contratos_ganado.py (equivalente automático)</t>
  </si>
  <si>
    <t>Sesión de Arrendatario; contrato 0001 con 26 cabezas, tarifa de 85.000 por cabeza y 6 meses de duración (1 de octubre de 2026 a 1 de abril de 2027).</t>
  </si>
  <si>
    <t>Valor mensual 2.210.000; valor total 13.260.000; fecha de fin calculada a partir del inicio y la duración.</t>
  </si>
  <si>
    <t>CP-026</t>
  </si>
  <si>
    <t>Cada rol ve solo los contratos que le corresponden</t>
  </si>
  <si>
    <t>Prueba de seguridad por rol: un Arrendatario consulta sus contratos y el de otro Arrendatario; el Propietario consulta los de sus lotes.</t>
  </si>
  <si>
    <t>tests/test_contratos_ganado.py</t>
  </si>
  <si>
    <t>Dos Arrendatarios con contratos distintos y un Propietario con lotes en ambos.</t>
  </si>
  <si>
    <t>El Arrendatario ve solo los suyos; el contrato ajeno responde 403 «El contrato pertenece a otras personas»; Técnico y Contador ven todos.</t>
  </si>
  <si>
    <t>CP-027</t>
  </si>
  <si>
    <t>Creación de contrato con datos válidos</t>
  </si>
  <si>
    <t>Prueba funcional de la API con Postman: el Arrendatario crea un contrato a su nombre sobre un lote de demostración.</t>
  </si>
  <si>
    <t>Sesión de Arrendatario; lote existente, fecha de inicio válida, 6 meses y tarifa por cabeza mayor que cero.</t>
  </si>
  <si>
    <t>Código 201 con el contrato; valor mensual igual a cabezas por tarifa.</t>
  </si>
  <si>
    <t>CP-028</t>
  </si>
  <si>
    <t>Validación de fecha, duración y tarifa del contrato</t>
  </si>
  <si>
    <t>Prueba de valores límite: fecha inexistente (30 de febrero), duración de 0, 1, 60 y 61 meses, y tarifa en 0.</t>
  </si>
  <si>
    <t>tests/test_contratos_ganado.py, tests/test_validaciones.py</t>
  </si>
  <si>
    <t>Sesión de Arrendatario; resto de campos válidos.</t>
  </si>
  <si>
    <t>Se aceptan 1 y 60 meses; la fecha inexistente, 0 y 61 meses y la tarifa en 0 se rechazan con 422 e indican el campo.</t>
  </si>
  <si>
    <t>CP-029</t>
  </si>
  <si>
    <t>Registro de ganado con alerta de carga</t>
  </si>
  <si>
    <t>Prueba de integración entre ganado y lote: el Arrendatario registra un hato y la respuesta debe traer la alerta de carga del lote.</t>
  </si>
  <si>
    <t>Contrato activo del Arrendatario; raza, cantidad de cabezas mayor que cero y propósito válido.</t>
  </si>
  <si>
    <t>Código 201 con el hato; la respuesta incluye el estado de carga del lote.</t>
  </si>
  <si>
    <t>CP-030</t>
  </si>
  <si>
    <t>Ganado con datos inválidos o contrato no activo</t>
  </si>
  <si>
    <t>Media</t>
  </si>
  <si>
    <t>Prueba funcional de reglas de estado: cantidad en 0, propósito inexistente y registro sobre un contrato no activo; además, eliminación de un contrato que tiene ganado.</t>
  </si>
  <si>
    <t>Sesión de Arrendatario y de Propietario; un contrato no activo y otro con ganado.</t>
  </si>
  <si>
    <t>Cantidad y propósito inválidos responden 422; contrato no activo responde 409; eliminar un contrato con ganado responde 409.</t>
  </si>
  <si>
    <t>CP-031</t>
  </si>
  <si>
    <t>Documento del contrato con huella SHA-256</t>
  </si>
  <si>
    <t>Documento y firma digital</t>
  </si>
  <si>
    <t>Prueba funcional en el navegador: se abre el documento del contrato 0001 con el botón Documento.</t>
  </si>
  <si>
    <t>tests/test_firmas.py (equivalente automático)</t>
  </si>
  <si>
    <t>Sesión de Arrendatario o Propietario del contrato 0001.</t>
  </si>
  <si>
    <t>El texto incluye partes, lote, vigencia, valor mensual y total, y se muestra la huella SHA-256; abrirlo de nuevo sin cambios muestra la misma huella.</t>
  </si>
  <si>
    <t>CP-032</t>
  </si>
  <si>
    <t>Firma del contrato por ambas partes</t>
  </si>
  <si>
    <t>Prueba funcional de la API con Postman: el Propietario del lote y el Arrendatario firman el mismo contrato activo.</t>
  </si>
  <si>
    <t>Contrato activo sin firmas; sesiones del Propietario y del Arrendatario del contrato.</t>
  </si>
  <si>
    <t>Cada firma responde con éxito; GET de firmas muestra dos firmas vigentes y firmado_por_ambas_partes verdadero.</t>
  </si>
  <si>
    <t>CP-033</t>
  </si>
  <si>
    <t>Firma repetida o de un rol no permitido</t>
  </si>
  <si>
    <t>Prueba de seguridad: un usuario firma dos veces y un Técnico intenta firmar.</t>
  </si>
  <si>
    <t>tests/test_firmas.py</t>
  </si>
  <si>
    <t>Contrato activo; sesión del firmante y sesión de un Técnico.</t>
  </si>
  <si>
    <t>La segunda firma del mismo usuario responde 409; el Técnico recibe 403.</t>
  </si>
  <si>
    <t>CP-034</t>
  </si>
  <si>
    <t>Un cambio en el ganado invalida las firmas</t>
  </si>
  <si>
    <t>Regresión</t>
  </si>
  <si>
    <t>Prueba de integración entre ganado y firma: con el contrato firmado se modifica el hato y se consulta de nuevo la firma.</t>
  </si>
  <si>
    <t>Contrato firmado por ambas partes.</t>
  </si>
  <si>
    <t>La huella actual cambia; las firmas anteriores quedan con vigente en falso y firmado_por_ambas_partes deja de ser verdadero.</t>
  </si>
  <si>
    <t>CP-035</t>
  </si>
  <si>
    <t>Registro de un pago nuevo</t>
  </si>
  <si>
    <t>RF06</t>
  </si>
  <si>
    <t>Pagos</t>
  </si>
  <si>
    <t>Prueba funcional de la API con Postman: el Arrendatario registra un pago sobre su contrato activo.</t>
  </si>
  <si>
    <t>Sesión de Arrendatario; fecha real, monto mayor que cero y método Transferencia.</t>
  </si>
  <si>
    <t>Código 201; el pago nace en estado Pendiente.</t>
  </si>
  <si>
    <t>CP-036</t>
  </si>
  <si>
    <t>Valores límite del pago</t>
  </si>
  <si>
    <t>Prueba de valores límite: monto en 0, negativo y muy grande; fecha inexistente o con formato incorrecto; método fuera de la lista.</t>
  </si>
  <si>
    <t>tests/test_pagos.py, tests/test_validaciones.py</t>
  </si>
  <si>
    <t>Sesión de Arrendatario con contrato activo; cada valor por separado.</t>
  </si>
  <si>
    <t>Los valores inválidos responden 422 e indican el campo; ningún pago inválido se guarda.</t>
  </si>
  <si>
    <t>CP-037</t>
  </si>
  <si>
    <t>Confirmar un pago aumenta el recaudado</t>
  </si>
  <si>
    <t>Prueba de integración entre pagos y reporte: se confirma un pago Pendiente y se consulta la rentabilidad antes y después.</t>
  </si>
  <si>
    <t>tests/test_pagos.py, tests/test_reportes.py</t>
  </si>
  <si>
    <t>Pago Pendiente de un contrato; sesión del Propietario del lote o del Contador.</t>
  </si>
  <si>
    <t>El pago pasa a Confirmado y el recaudado del reporte aumenta en su monto; un pago Rechazado no suma.</t>
  </si>
  <si>
    <t>CP-038</t>
  </si>
  <si>
    <t>Recomendación técnica con texto válido</t>
  </si>
  <si>
    <t>RF09</t>
  </si>
  <si>
    <t>Recomendaciones técnicas</t>
  </si>
  <si>
    <t>Prueba funcional: el Técnico registra una recomendación sobre un hato y el Arrendatario y el Propietario la consultan.</t>
  </si>
  <si>
    <t>tests/test_recomendaciones.py</t>
  </si>
  <si>
    <t>Sesión de Técnico; hato existente; texto de 10 a 500 caracteres sin etiquetas.</t>
  </si>
  <si>
    <t>Código 201 con id, nombre del técnico, fecha y descripción; las partes del contrato la ven en el listado.</t>
  </si>
  <si>
    <t>CP-039</t>
  </si>
  <si>
    <t>Límites del texto de la recomendación</t>
  </si>
  <si>
    <t>Prueba de valores límite: textos de 9, 10, 500 y 501 caracteres y un texto con una etiqueta HTML.</t>
  </si>
  <si>
    <t>tests/test_recomendaciones.py, tests/test_validaciones.py</t>
  </si>
  <si>
    <t>Sesión de Técnico; un texto por intento.</t>
  </si>
  <si>
    <t>Se aceptan 10 y 500 caracteres; 9, 501 y el texto con etiqueta se rechazan con 422.</t>
  </si>
  <si>
    <t>CP-040</t>
  </si>
  <si>
    <t>Permisos de las recomendaciones</t>
  </si>
  <si>
    <t>Prueba de seguridad por rol: un Arrendatario intenta crear una recomendación y un Técnico intenta eliminar la de otro.</t>
  </si>
  <si>
    <t>Recomendación creada por un Técnico; sesiones de un Arrendatario y de otro Técnico.</t>
  </si>
  <si>
    <t>El Arrendatario recibe 403 al crear; solo el Técnico autor puede eliminar.</t>
  </si>
  <si>
    <t>CP-041</t>
  </si>
  <si>
    <t>Cálculo de la rentabilidad con margen del 20 %</t>
  </si>
  <si>
    <t>Reportes y exportación</t>
  </si>
  <si>
    <t>Prueba funcional: se consulta el reporte de rentabilidad y se recalculan a mano las columnas de un contrato.</t>
  </si>
  <si>
    <t>tests/test_reportes.py</t>
  </si>
  <si>
    <t>Contrato con ingreso total conocido y pagos Confirmados, Pendientes y Rechazados.</t>
  </si>
  <si>
    <t>Costo estimado igual al ingreso entre 1,20; utilidad igual al ingreso menos el costo; recaudado igual a la suma de pagos Confirmados; saldo igual al ingreso menos el recaudado.</t>
  </si>
  <si>
    <t>CP-042</t>
  </si>
  <si>
    <t>Descarga del reporte en Excel</t>
  </si>
  <si>
    <t>RF03</t>
  </si>
  <si>
    <t>Prueba funcional en el navegador: se descarga el reporte en Excel desde la pestaña Reportes y se abre.</t>
  </si>
  <si>
    <t>tests/test_exportacion.py (equivalente automático)</t>
  </si>
  <si>
    <t>Sesión de Propietario o Contador con contratos en el reporte.</t>
  </si>
  <si>
    <t>Se descarga un .xlsx llamado reporte_rentabilidad_AAAAMMDD con una hoja con la tabla y fórmulas SUM en los totales; coincide con la pantalla.</t>
  </si>
  <si>
    <t>CP-043</t>
  </si>
  <si>
    <t>Descarga del reporte en PDF</t>
  </si>
  <si>
    <t>Prueba funcional en el navegador: se descarga el reporte en PDF y se revisa.</t>
  </si>
  <si>
    <t>Se descarga un PDF llamado reporte_rentabilidad_AAAAMMDD en una hoja A4 horizontal con la misma tabla del reporte.</t>
  </si>
  <si>
    <t>CP-044</t>
  </si>
  <si>
    <t>Control de estado del servidor</t>
  </si>
  <si>
    <t>Transversal</t>
  </si>
  <si>
    <t>Persistencia y operación sin conexión</t>
  </si>
  <si>
    <t>Prueba funcional con JMeter: consulta pública del estado del servicio.</t>
  </si>
  <si>
    <t>API en ejecución; petición 01 del plan de carga.</t>
  </si>
  <si>
    <t>GET /api/salud responde 200 con {"estado": "ok"}.</t>
  </si>
  <si>
    <t>CP-045</t>
  </si>
  <si>
    <t>Funcionamiento sin conexión con datos en caché</t>
  </si>
  <si>
    <t>RNF01</t>
  </si>
  <si>
    <t>Prueba funcional en el navegador: tras consultar lotes y contratos se desconecta la red desde las herramientas de desarrollo de Edge y se navega.</t>
  </si>
  <si>
    <t>frontend-react/src/pruebas/almacenLocal.test.js y hooks.test.jsx (equivalentes automáticos)</t>
  </si>
  <si>
    <t>Sesión iniciada con listas de lotes, contratos y reporte ya consultadas; red simulada como desconectada.</t>
  </si>
  <si>
    <t>Aparece el aviso rojo de sin conexión; se muestran las listas guardadas; los botones de descarga quedan desactivados.</t>
  </si>
  <si>
    <t>CP-046</t>
  </si>
  <si>
    <t>Recuperación de la conexión</t>
  </si>
  <si>
    <t>Prueba funcional en el navegador: se restablece la red después del caso anterior.</t>
  </si>
  <si>
    <t>frontend-react/src/pruebas/hooks.test.jsx (equivalente automático)</t>
  </si>
  <si>
    <t>Estado final del caso anterior.</t>
  </si>
  <si>
    <t>El aviso rojo desaparece, las listas se actualizan con los datos del servidor y los botones de descarga vuelven a estar activos.</t>
  </si>
  <si>
    <t>CP-047</t>
  </si>
  <si>
    <t>Paridad entre SQLite y MySQL</t>
  </si>
  <si>
    <t>Prueba de regresión: la suite completa del backend se ejecuta contra SQLite y contra MySQL 8.4 para detectar diferencias entre motores.</t>
  </si>
  <si>
    <t>E4 · Backend: pytest contra MySQL 8.4 local (base pastoreando_prueba)</t>
  </si>
  <si>
    <t>tests/test_adaptador_bd.py y la suite completa</t>
  </si>
  <si>
    <t>MySQL local con la base pastoreando_prueba (la suite se detiene si el nombre no termina en _prueba).</t>
  </si>
  <si>
    <t>248 pruebas aprobadas con MySQL; con SQLite 247 aprobadas y 1 omitida (la que solo corre con MySQL).</t>
  </si>
  <si>
    <t>CP-048</t>
  </si>
  <si>
    <t>Carga básica de la API con 10 usuarios simultáneos</t>
  </si>
  <si>
    <t>Carga y rendimiento</t>
  </si>
  <si>
    <t>Prueba de carga con JMeter: 10 usuarios con rampa de 5 segundos, 5 iteraciones y pausa de 300 ms sobre las cinco peticiones del plan.</t>
  </si>
  <si>
    <t>API local con base SQLite de pruebas; contraseña de demostración entregada con la propiedad -Jclave.</t>
  </si>
  <si>
    <t>250 muestras; 0 % de errores (la petición sin token cuenta como acierto porque se espera 401); tiempo medio menor de 2000 ms.</t>
  </si>
  <si>
    <t>CP-049</t>
  </si>
  <si>
    <t>Interfaz usable en pantalla móvil</t>
  </si>
  <si>
    <t>Prueba de usabilidad en el navegador con emulación de iPhone 16 (393 × 852): se recorren inicio de sesión, lotes, costos y contratos.</t>
  </si>
  <si>
    <t>E2 · Web móvil: Edge con emulación iPhone 16 (393 × 852) sobre la API local con SQLite</t>
  </si>
  <si>
    <t>Emulación de dispositivo activada en las herramientas de desarrollo de Edge.</t>
  </si>
  <si>
    <t>Sin desplazamiento horizontal de la página; botones y campos alcanzables con el dedo; los mensajes de error se ven completos.</t>
  </si>
  <si>
    <t>CP-050</t>
  </si>
  <si>
    <t>Versión publicada responde y permite iniciar sesión</t>
  </si>
  <si>
    <t>Prueba funcional de solo lectura sobre la versión de revisión: se despierta el servicio gratuito y se inicia sesión.</t>
  </si>
  <si>
    <t>E7 · Revisión: versión publicada en Render con MySQL 8.4 en Aiven (solo lectura)</t>
  </si>
  <si>
    <t>Abrir https://pastoreando.onrender.com; esperar hasta dos minutos a que el servicio despierte; MySQL de Aiven encendido.</t>
  </si>
  <si>
    <t>GET /api/salud responde 200; el inicio de sesión funciona con un usuario de demostración; no se crean ni modifican datos.</t>
  </si>
  <si>
    <t>CP-051</t>
  </si>
  <si>
    <t>Validaciones de los formularios de la interfaz</t>
  </si>
  <si>
    <t>Prueba unitaria con Vitest de las validaciones del lado del cliente: cédula, contraseña, fechas, montos y textos antes de enviar al servidor.</t>
  </si>
  <si>
    <t>E5 · Interfaz: Vitest 5 (jsdom) sobre Node 24</t>
  </si>
  <si>
    <t>Vitest</t>
  </si>
  <si>
    <t>frontend-react/src/pruebas/validaciones.test.js</t>
  </si>
  <si>
    <t>Suite de Vitest en la carpeta frontend-react (npm test).</t>
  </si>
  <si>
    <t>Las pruebas de validaciones terminan aprobadas; los valores inválidos se rechazan con el mensaje junto al campo antes de llegar a la API.</t>
  </si>
  <si>
    <t>CP-052</t>
  </si>
  <si>
    <t>Suite completa de la interfaz</t>
  </si>
  <si>
    <t>Prueba de regresión de la interfaz: se ejecuta la suite completa de Vitest.</t>
  </si>
  <si>
    <t>Los 13 archivos de prueba de frontend-react/src/pruebas</t>
  </si>
  <si>
    <t>Dependencias instaladas con npm ci; comando npm test dentro de frontend-react.</t>
  </si>
  <si>
    <t>159 pruebas en 13 archivos, todas aprobadas.</t>
  </si>
  <si>
    <t>CP-053</t>
  </si>
  <si>
    <t>Caché local y detección de pérdida de conexión</t>
  </si>
  <si>
    <t>Prueba unitaria con Vitest del almacenamiento local por usuario y del aviso de conexión.</t>
  </si>
  <si>
    <t>frontend-react/src/pruebas/almacenLocal.test.js, hooks.test.jsx</t>
  </si>
  <si>
    <t>Suite de Vitest en la carpeta frontend-react.</t>
  </si>
  <si>
    <t>El almacenamiento guarda y recupera por usuario las listas de lotes, contratos y el último reporte; el aviso se activa al perder la red y se apaga al volver.</t>
  </si>
  <si>
    <t>CP-054</t>
  </si>
  <si>
    <t>Cálculo local de costos en la aplicación móvil sin conexión</t>
  </si>
  <si>
    <t>Aplicación móvil Android</t>
  </si>
  <si>
    <t>Prueba funcional en la aplicación Android: con el teléfono en modo avión se calcula el costo con los datos del caso 001.</t>
  </si>
  <si>
    <t>E8 · Android: JUnit y aplicación en emulador o dispositivo</t>
  </si>
  <si>
    <t>Manual (dispositivo Android)</t>
  </si>
  <si>
    <t>APK instalada, sesión de Contador iniciada y modo avión activado.</t>
  </si>
  <si>
    <t>El cálculo se hace en el teléfono con la estrategia del propósito y muestra 288.000 por cabeza; una franja roja avisa que no quedó en el historial.</t>
  </si>
  <si>
    <t>CP-055</t>
  </si>
  <si>
    <t>Suite de pruebas unitarias de la aplicación Android</t>
  </si>
  <si>
    <t>Prueba de regresión: se ejecutan las pruebas de JUnit del módulo de la aplicación móvil.</t>
  </si>
  <si>
    <t>JUnit</t>
  </si>
  <si>
    <t>89 pruebas JUnit del proyecto Android</t>
  </si>
  <si>
    <t>Proyecto Android abierto en Android Studio.</t>
  </si>
  <si>
    <t>Las 89 pruebas terminan aprobadas.</t>
  </si>
  <si>
    <t>CP-056</t>
  </si>
  <si>
    <t>Área de un lote a partir de su perímetro</t>
  </si>
  <si>
    <t>RF07</t>
  </si>
  <si>
    <t>Parcelación de lotes (pendiente)</t>
  </si>
  <si>
    <t>Prueba unitaria del cálculo de área con polígonos de área conocida y valores límite.</t>
  </si>
  <si>
    <t>Por crear junto con la funcionalidad</t>
  </si>
  <si>
    <t>PENDIENTE DE CONSTRUIR. Requiere RF07 construido. Rectángulo de 100 × 50 metros, triángulo rectángulo de catetos 30 y 40, polígono de 2 vértices y vértices repetidos.</t>
  </si>
  <si>
    <t>Rectángulo 5.000 m² (0,5 ha); triángulo 600 m²; el polígono de 2 vértices y los vértices repetidos se rechazan.</t>
  </si>
  <si>
    <t>CP-057</t>
  </si>
  <si>
    <t>Alarma al cruzar el umbral configurado</t>
  </si>
  <si>
    <t>RF08</t>
  </si>
  <si>
    <t>Alarmas (pendiente)</t>
  </si>
  <si>
    <t>Prueba de integración del umbral de alarma con valores límite alrededor del 80 %.</t>
  </si>
  <si>
    <t>PENDIENTE DE CONSTRUIR. Requiere RF08 construido. Umbral configurado en 80 % y lotes con 79,9 %, 80 % y 80,1 % de carga.</t>
  </si>
  <si>
    <t>No se dispara con 79,9 %; se dispara con 80,1 %; el comportamiento con 80 % coincide con la regla de la alerta de carga.</t>
  </si>
  <si>
    <t>CP-058</t>
  </si>
  <si>
    <t>Sincronización de cambios hechos sin conexión</t>
  </si>
  <si>
    <t>Prueba funcional en el navegador de la sincronización completa: se registran cambios sin red y se restablece la conexión.</t>
  </si>
  <si>
    <t>PENDIENTE DE CONSTRUIR. Requiere la sincronización con IndexedDB. Red desconectada desde las herramientas de desarrollo; dos registros nuevos hechos sin conexión.</t>
  </si>
  <si>
    <t>Al volver la red los dos registros llegan al servidor una sola vez, sin pérdidas ni duplicados.</t>
  </si>
  <si>
    <t>CP-059</t>
  </si>
  <si>
    <t>Copia de seguridad diaria restaurable</t>
  </si>
  <si>
    <t>RNF02</t>
  </si>
  <si>
    <t>Respaldos (pendiente)</t>
  </si>
  <si>
    <t>Prueba de procedimiento: se genera la copia, se restaura sobre una base vacía y se comparan los conteos de las 6 tablas.</t>
  </si>
  <si>
    <t>Manual (consola y mysqldump)</t>
  </si>
  <si>
    <t>PENDIENTE DE CONSTRUIR. Requiere la programación de copias diarias. Base MySQL de pruebas con datos de demostración y una base vacía de destino.</t>
  </si>
  <si>
    <t>La copia se genera sin errores y, restaurada, deja las 6 tablas con los mismos conteos de filas que el origen.</t>
  </si>
  <si>
    <t>Ficha de caso de prueba · Pastoreando</t>
  </si>
  <si>
    <t>Elija el número de caso en la celda amarilla: la ficha se llena con los datos de la hoja «Casos de prueba» y queda lista para imprimir o guardar en PDF.</t>
  </si>
  <si>
    <t>Número de caso</t>
  </si>
  <si>
    <t>Requisito asociado</t>
  </si>
  <si>
    <t>Tipo de prueba y prioridad</t>
  </si>
  <si>
    <t>Las filas con fondo amarillo se llenan durante la ejecución en la hoja «Casos de prueba»; aquí solo se consultan.</t>
  </si>
  <si>
    <t>Ambiente de pruebas · Pastoreando</t>
  </si>
  <si>
    <t>El ambiente de pruebas reproduce lo que importa del entorno de producción (motor de base de datos, versiones y forma de servir la aplicación) y declara las diferencias que no se pueden evitar.</t>
  </si>
  <si>
    <t>1. Ambientes de prueba definidos</t>
  </si>
  <si>
    <t>Código</t>
  </si>
  <si>
    <t>Ambiente</t>
  </si>
  <si>
    <t>Para qué se usa</t>
  </si>
  <si>
    <t>Sistema operativo, navegador o dispositivo</t>
  </si>
  <si>
    <t>Servidor y base de datos</t>
  </si>
  <si>
    <t>Cuándo se usa</t>
  </si>
  <si>
    <t>E1</t>
  </si>
  <si>
    <t>Web con API local</t>
  </si>
  <si>
    <t>Casos funcionales y de usabilidad en el navegador</t>
  </si>
  <si>
    <t>Windows 11 con Microsoft Edge</t>
  </si>
  <si>
    <t>Uvicorn en 127.0.0.1:8000 y Vite en localhost:5173; SQLite de pruebas (data/jmeter_prueba.db)</t>
  </si>
  <si>
    <t>Ejecución diaria y video de las pruebas</t>
  </si>
  <si>
    <t>E2</t>
  </si>
  <si>
    <t>Web móvil emulada</t>
  </si>
  <si>
    <t>Usabilidad en pantalla de teléfono</t>
  </si>
  <si>
    <t>Edge con emulación de iPhone 16 (393 × 852)</t>
  </si>
  <si>
    <t>Igual a E1</t>
  </si>
  <si>
    <t>Casos de usabilidad móvil</t>
  </si>
  <si>
    <t>E3</t>
  </si>
  <si>
    <t>Backend con SQLite</t>
  </si>
  <si>
    <t>Pruebas unitarias, de integración y de seguridad de la API</t>
  </si>
  <si>
    <t>Windows con Git Bash; Python 3.13</t>
  </si>
  <si>
    <t>Sin servidor: cliente de prueba de FastAPI; SQLite temporal por prueba</t>
  </si>
  <si>
    <t>Cada cambio de código</t>
  </si>
  <si>
    <t>E4</t>
  </si>
  <si>
    <t>Backend con MySQL</t>
  </si>
  <si>
    <t>Paridad con producción y pruebas de la capa de datos</t>
  </si>
  <si>
    <t>MySQL 8.4 local, base pastoreando_prueba (la suite se detiene si el nombre no termina en _prueba)</t>
  </si>
  <si>
    <t>Antes de cerrar cada etapa</t>
  </si>
  <si>
    <t>E5</t>
  </si>
  <si>
    <t>Interfaz con Vitest</t>
  </si>
  <si>
    <t>Pruebas de componentes, servicios y navegación</t>
  </si>
  <si>
    <t>Node 24.22.1 con jsdom</t>
  </si>
  <si>
    <t>Sin servidor</t>
  </si>
  <si>
    <t>Cada cambio de la interfaz</t>
  </si>
  <si>
    <t>E6</t>
  </si>
  <si>
    <t>API con Postman y JMeter</t>
  </si>
  <si>
    <t>Pruebas funcionales de servicios, de seguridad y de carga</t>
  </si>
  <si>
    <t>Windows; Postman; Apache JMeter 5.6.3 con Java Temurin 21</t>
  </si>
  <si>
    <t>API local con SQLite de pruebas</t>
  </si>
  <si>
    <t>Ejecución de servicios y de carga</t>
  </si>
  <si>
    <t>E7</t>
  </si>
  <si>
    <t>Revisión en línea</t>
  </si>
  <si>
    <t>Verificación final de solo lectura de la versión publicada</t>
  </si>
  <si>
    <t>Edge en Windows</t>
  </si>
  <si>
    <t>Render (plan gratuito) con MySQL 8.4 en Aiven (plan gratuito, TLS): https://pastoreando.onrender.com</t>
  </si>
  <si>
    <t>Recorridos cortos al cierre; sin cargas</t>
  </si>
  <si>
    <t>E8</t>
  </si>
  <si>
    <t>Android</t>
  </si>
  <si>
    <t>Pruebas de la aplicación móvil</t>
  </si>
  <si>
    <t>Emulador o teléfono Android con la APK; Android Studio para JUnit</t>
  </si>
  <si>
    <t>API de Render o local, según la prueba</t>
  </si>
  <si>
    <t>Casos de la aplicación móvil</t>
  </si>
  <si>
    <t>2. Ambiente de software</t>
  </si>
  <si>
    <t>Componente</t>
  </si>
  <si>
    <t>Versión o detalle</t>
  </si>
  <si>
    <t>Uso en las pruebas</t>
  </si>
  <si>
    <t>En producción</t>
  </si>
  <si>
    <t>Diferencia con producción</t>
  </si>
  <si>
    <t>Sistema operativo</t>
  </si>
  <si>
    <t>Windows 11</t>
  </si>
  <si>
    <t>Equipo de pruebas</t>
  </si>
  <si>
    <t>Linux (contenedor de Render)</t>
  </si>
  <si>
    <t>Se declara; la API se prueba además en la versión publicada (E7)</t>
  </si>
  <si>
    <t>Lenguaje del backend</t>
  </si>
  <si>
    <t>Python 3.13</t>
  </si>
  <si>
    <t>Ejecución de la API y de pytest</t>
  </si>
  <si>
    <t>Python 3.13 (.python-version)</t>
  </si>
  <si>
    <t>Ninguna</t>
  </si>
  <si>
    <t>Framework del backend</t>
  </si>
  <si>
    <t>FastAPI y Uvicorn</t>
  </si>
  <si>
    <t>API local y cliente de prueba</t>
  </si>
  <si>
    <t>Base de datos</t>
  </si>
  <si>
    <t>SQLite (E1, E3, E6) y MySQL 8.4 (E4)</t>
  </si>
  <si>
    <t>Datos de prueba aislados de los de desarrollo</t>
  </si>
  <si>
    <t>MySQL 8.4 en Aiven con TLS</t>
  </si>
  <si>
    <t>SQLite no es el motor de producción; se compensa con la suite completa en MySQL (E4)</t>
  </si>
  <si>
    <t>Interfaz</t>
  </si>
  <si>
    <t>React 19, Vite 8</t>
  </si>
  <si>
    <t>Navegador y pruebas de componentes</t>
  </si>
  <si>
    <t>React compilado servido por la API</t>
  </si>
  <si>
    <t>En E1 se usa Vite; en E7, la versión compilada</t>
  </si>
  <si>
    <t>Pruebas de interfaz</t>
  </si>
  <si>
    <t>Vitest 5, Node 24.22.1</t>
  </si>
  <si>
    <t>Suite de 161 pruebas</t>
  </si>
  <si>
    <t>Pruebas del backend</t>
  </si>
  <si>
    <t>pytest, flake8, black</t>
  </si>
  <si>
    <t>Suite de 297 pruebas y revisión de estilo</t>
  </si>
  <si>
    <t>Pruebas de servicios</t>
  </si>
  <si>
    <t>Postman (colección de la Guía 7)</t>
  </si>
  <si>
    <t>Casos de servicios por rol</t>
  </si>
  <si>
    <t>Pruebas de carga</t>
  </si>
  <si>
    <t>Apache JMeter 5.6.3, Java Temurin 21</t>
  </si>
  <si>
    <t>Carga básica de la API local</t>
  </si>
  <si>
    <t>La carga solo se ejecuta en local para no saturar servicios gratuitos</t>
  </si>
  <si>
    <t>Navegador</t>
  </si>
  <si>
    <t>Microsoft Edge con herramientas de desarrollo</t>
  </si>
  <si>
    <t>Emulación móvil y simulación de red desconectada</t>
  </si>
  <si>
    <t>Navegador del usuario final</t>
  </si>
  <si>
    <t>Se amplía con la emulación móvil</t>
  </si>
  <si>
    <t>Control de versiones</t>
  </si>
  <si>
    <t>Git y GitHub</t>
  </si>
  <si>
    <t>Una rama y una etiqueta por entrega</t>
  </si>
  <si>
    <t>3. Ambiente de hardware</t>
  </si>
  <si>
    <t>Elemento</t>
  </si>
  <si>
    <t>Uso</t>
  </si>
  <si>
    <t>Computador con Windows con memoria suficiente para ejecutar a la vez el servidor, el navegador y JMeter con interfaz gráfica</t>
  </si>
  <si>
    <t>E1 a E6</t>
  </si>
  <si>
    <t>Dispositivo móvil</t>
  </si>
  <si>
    <t>Teléfono Android (por ejemplo, Xiaomi 25062RN2DL usado en la Guía 8) o emulador de Android Studio</t>
  </si>
  <si>
    <t>Red</t>
  </si>
  <si>
    <t>Conexión a internet estable para E7; cortes simulados con las herramientas del navegador en E1</t>
  </si>
  <si>
    <t>E1, E7</t>
  </si>
  <si>
    <t>Almacenamiento</t>
  </si>
  <si>
    <t>Espacio para el repositorio, bases de prueba, capturas y video de la ejecución; copia de respaldo de las evidencias en una unidad aparte</t>
  </si>
  <si>
    <t>Todos</t>
  </si>
  <si>
    <t>4. Datos y usuarios de prueba</t>
  </si>
  <si>
    <t>Rol</t>
  </si>
  <si>
    <t>Correo de demostración</t>
  </si>
  <si>
    <t>Propietario</t>
  </si>
  <si>
    <t>carlos.ramirez@pastoreando.co</t>
  </si>
  <si>
    <t>Lotes, alertas, firma, confirmación de pagos y reportes</t>
  </si>
  <si>
    <t>Arrendatario</t>
  </si>
  <si>
    <t>brayian.piedrahita@pastoreando.co</t>
  </si>
  <si>
    <t>Contratos, ganado, pagos, firma y costos</t>
  </si>
  <si>
    <t>Técnico</t>
  </si>
  <si>
    <t>laura.gomez@pastoreando.co</t>
  </si>
  <si>
    <t>Recomendaciones y pruebas de permisos</t>
  </si>
  <si>
    <t>Contador</t>
  </si>
  <si>
    <t>sandra.bedoya@pastoreando.co</t>
  </si>
  <si>
    <t>Costos, historial, pagos y reportes</t>
  </si>
  <si>
    <t>Carga inicial</t>
  </si>
  <si>
    <t>8 usuarios, 4 lotes, 5 contratos y 12 hatos de ganado</t>
  </si>
  <si>
    <t>Se cargan solos cuando la base está vacía; el contrato 0001 tiene 26 cabezas a 85.000 por cabeza durante 6 meses</t>
  </si>
  <si>
    <t>Contraseñas y códigos</t>
  </si>
  <si>
    <t>No se escriben en este formato</t>
  </si>
  <si>
    <t>Se toman del archivo .env y del README del repositorio; JMeter recibe la contraseña con la propiedad -Jclave</t>
  </si>
  <si>
    <t>5. Condiciones del entorno de producción y cómo se tratan en las pruebas</t>
  </si>
  <si>
    <t>Condición</t>
  </si>
  <si>
    <t>En el ambiente de pruebas</t>
  </si>
  <si>
    <t>Tratamiento</t>
  </si>
  <si>
    <t>Servicio gratuito que duerme</t>
  </si>
  <si>
    <t>Render duerme el servicio tras 15 minutos sin visitas; la primera petición tarda cerca de un minuto</t>
  </si>
  <si>
    <t>El servidor local siempre está activo</t>
  </si>
  <si>
    <t>En E7 se despierta el servicio con /api/salud y se espera hasta dos minutos antes de probar</t>
  </si>
  <si>
    <t>Base de datos gratuita</t>
  </si>
  <si>
    <t>El MySQL de Aiven puede apagarse por inactividad</t>
  </si>
  <si>
    <t>SQLite o MySQL local siempre disponibles</t>
  </si>
  <si>
    <t>Antes de E7 se verifica en el panel de Aiven que esté en ejecución</t>
  </si>
  <si>
    <t>Conectividad en campo</t>
  </si>
  <si>
    <t>Conexión intermitente (LTE o satélite)</t>
  </si>
  <si>
    <t>Red del equipo</t>
  </si>
  <si>
    <t>Cortes simulados desde las herramientas de Edge (casos de RNF01)</t>
  </si>
  <si>
    <t>Claves y variables</t>
  </si>
  <si>
    <t>Clave de tokens y código profesional definidos en el panel de Render</t>
  </si>
  <si>
    <t>Valores de desarrollo en el archivo .env local</t>
  </si>
  <si>
    <t>No se comparten ni se escriben en los formatos</t>
  </si>
  <si>
    <t>Datos reales</t>
  </si>
  <si>
    <t>Los datos de la versión publicada deben conservarse</t>
  </si>
  <si>
    <t>Bases separadas para cada tipo de prueba</t>
  </si>
  <si>
    <t>En E7 solo se hacen lecturas y recorridos cortos, sin crear ni borrar datos</t>
  </si>
  <si>
    <t>Compilación de la interfaz</t>
  </si>
  <si>
    <t>Vite en desarrollo y pruebas con jsdom</t>
  </si>
  <si>
    <t>npm run build se ejecuta antes de cerrar una etapa y se verifica en E7</t>
  </si>
  <si>
    <t>6. Casos diseñados por requisito y ambiente (se calcula desde la hoja «Casos de prueba»)</t>
  </si>
  <si>
    <t>Descripción</t>
  </si>
  <si>
    <t>Total</t>
  </si>
  <si>
    <t>Acceso y sesión por roles</t>
  </si>
  <si>
    <t>Costo por cabeza según el propósito del ganado</t>
  </si>
  <si>
    <t>Desglose de costos por rubro</t>
  </si>
  <si>
    <t>Exportación de reportes a PDF y Excel</t>
  </si>
  <si>
    <t>Alerta de sobrecarga de un lote</t>
  </si>
  <si>
    <t>Contrato y firma digital</t>
  </si>
  <si>
    <t>Reporte de rentabilidad con margen del 20 % y recaudo</t>
  </si>
  <si>
    <t>Cálculo de áreas y parcelación de lotes</t>
  </si>
  <si>
    <t>Alarmas configurables</t>
  </si>
  <si>
    <t>Recomendaciones técnicas del zootecnista</t>
  </si>
  <si>
    <t>PWA con funcionamiento sin conexión</t>
  </si>
  <si>
    <t>Copias de seguridad automáticas diarias</t>
  </si>
  <si>
    <t>Validación de datos, paridad de motores, rendimiento y usabilidad móvil</t>
  </si>
  <si>
    <t>Matriz de trazabilidad requisito · caso · resultado</t>
  </si>
  <si>
    <t>Los conteos se calculan desde la hoja «Casos de prueba» y se actualizan al diligenciar los resultados. La columna de casos asociados es la lista al momento de la entrega.</t>
  </si>
  <si>
    <t>Estado del requisito</t>
  </si>
  <si>
    <t>Cobertura</t>
  </si>
  <si>
    <t>Casos asociados</t>
  </si>
  <si>
    <t>Implementado</t>
  </si>
  <si>
    <t>CP-008, CP-009, CP-010, CP-011, CP-012, CP-013, CP-014, CP-015, CP-016</t>
  </si>
  <si>
    <t>CP-001, CP-002, CP-003, CP-005, CP-006</t>
  </si>
  <si>
    <t>CP-004, CP-007</t>
  </si>
  <si>
    <t>CP-042, CP-043</t>
  </si>
  <si>
    <t>CP-017, CP-018, CP-019, CP-020, CP-021, CP-022, CP-023, CP-024</t>
  </si>
  <si>
    <t>CP-025, CP-026, CP-027, CP-028, CP-029, CP-030, CP-031, CP-032, CP-033, CP-034</t>
  </si>
  <si>
    <t>CP-035, CP-036, CP-037, CP-041</t>
  </si>
  <si>
    <t>Pendiente de construir</t>
  </si>
  <si>
    <t>CP-038, CP-039, CP-040</t>
  </si>
  <si>
    <t>Parcial</t>
  </si>
  <si>
    <t>CP-045, CP-046, CP-053, CP-054, CP-058</t>
  </si>
  <si>
    <t>CP-044, CP-047, CP-048, CP-049, CP-050, CP-051, CP-052, CP-055</t>
  </si>
  <si>
    <t>Herramienta</t>
  </si>
  <si>
    <t>Rechazado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</si>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</sst>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20"/>
      <color rgb="FF2E7D32"/>
      <name val="Arial"/>
      <charset val="1"/>
    </font>
    <font>
      <sz val="11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2E7D32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F5F5F5"/>
        <bgColor rgb="FFFFF8E1"/>
      </patternFill>
    </fill>
    <fill>
      <patternFill patternType="solid">
        <fgColor rgb="FFFFFFFF"/>
        <bgColor rgb="FFF5F5F5"/>
      </patternFill>
    </fill>
    <fill>
      <patternFill patternType="solid">
        <fgColor rgb="FFF57C00"/>
        <bgColor rgb="FFEF6C00"/>
      </patternFill>
    </fill>
    <fill>
      <patternFill patternType="solid">
        <fgColor rgb="FF4CAF50"/>
        <bgColor rgb="FF2E7D32"/>
      </patternFill>
    </fill>
    <fill>
      <patternFill patternType="solid">
        <fgColor rgb="FFEF6C00"/>
        <bgColor rgb="FFF57C00"/>
      </patternFill>
    </fill>
    <fill>
      <patternFill patternType="solid">
        <fgColor rgb="FFFFF8E1"/>
        <bgColor rgb="FFF5F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165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6" borderId="0" xfId="0" applyFont="1" applyFill="1"/>
    <xf numFmtId="0" fontId="5" fillId="0" borderId="0" xfId="0" applyFont="1"/>
  </cellXfs>
  <cellStyles count="1">
    <cellStyle name="Normal" xfId="0" builtinId="0"/>
  </cellStyles>
  <dxfs count="7">
    <dxf>
      <fill>
        <patternFill>
          <bgColor rgb="FFFFCDD2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ont>
        <b/>
        <sz val="10"/>
        <color rgb="FFF44336"/>
        <name val="Arial"/>
        <charset val="1"/>
      </font>
    </dxf>
    <dxf>
      <font>
        <b/>
        <sz val="10"/>
        <color rgb="FFB71C1C"/>
        <name val="Arial"/>
        <charset val="1"/>
      </font>
      <fill>
        <patternFill>
          <bgColor rgb="FFFFCDD2"/>
        </patternFill>
      </fill>
    </dxf>
    <dxf>
      <font>
        <b/>
        <sz val="10"/>
        <color rgb="FFE65100"/>
        <name val="Arial"/>
        <charset val="1"/>
      </font>
      <fill>
        <patternFill>
          <bgColor rgb="FFFFE082"/>
        </patternFill>
      </fill>
    </dxf>
    <dxf>
      <font>
        <b/>
        <sz val="10"/>
        <color rgb="FF1B5E20"/>
        <name val="Ari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08080"/>
      <rgbColor rgb="FF9999FF"/>
      <rgbColor rgb="FFE65100"/>
      <rgbColor rgb="FFFFF8E1"/>
      <rgbColor rgb="FFF5F5F5"/>
      <rgbColor rgb="FF660066"/>
      <rgbColor rgb="FFF44336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57C00"/>
      <rgbColor rgb="FFEF6C00"/>
      <rgbColor rgb="FF555555"/>
      <rgbColor rgb="FF969696"/>
      <rgbColor rgb="FF003366"/>
      <rgbColor rgb="FF4CAF50"/>
      <rgbColor rgb="FF003300"/>
      <rgbColor rgb="FF333300"/>
      <rgbColor rgb="FFB71C1C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4</xdr:row>
      <xdr:rowOff>83820</xdr:rowOff>
    </xdr:from>
    <xdr:to>
      <xdr:col>3</xdr:col>
      <xdr:colOff>125213</xdr:colOff>
      <xdr:row>4</xdr:row>
      <xdr:rowOff>1620145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019442-3536-8BDF-CEFA-6BFAE5961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" y="1211580"/>
          <a:ext cx="2822693" cy="153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showGridLines="0" tabSelected="1" zoomScaleNormal="100" workbookViewId="0">
      <selection activeCell="B34" sqref="B34:E34"/>
    </sheetView>
  </sheetViews>
  <sheetFormatPr baseColWidth="10" defaultColWidth="8.6640625" defaultRowHeight="14.4" x14ac:dyDescent="0.3"/>
  <cols>
    <col min="1" max="1" width="34" customWidth="1"/>
    <col min="2" max="5" width="22" customWidth="1"/>
  </cols>
  <sheetData>
    <row r="1" spans="1:5" ht="24" customHeight="1" x14ac:dyDescent="0.3">
      <c r="A1" s="10" t="s">
        <v>0</v>
      </c>
      <c r="B1" s="10"/>
      <c r="C1" s="10"/>
      <c r="D1" s="10"/>
      <c r="E1" s="10"/>
    </row>
    <row r="3" spans="1:5" ht="36" customHeight="1" x14ac:dyDescent="0.3">
      <c r="A3" s="9" t="s">
        <v>1</v>
      </c>
      <c r="B3" s="9"/>
      <c r="C3" s="9"/>
      <c r="D3" s="9"/>
      <c r="E3" s="9"/>
    </row>
    <row r="4" spans="1:5" x14ac:dyDescent="0.3">
      <c r="A4" s="8" t="s">
        <v>2</v>
      </c>
      <c r="B4" s="8"/>
      <c r="C4" s="8"/>
      <c r="D4" s="8"/>
      <c r="E4" s="8"/>
    </row>
    <row r="5" spans="1:5" ht="137.4" customHeight="1" x14ac:dyDescent="0.3"/>
    <row r="6" spans="1:5" ht="15" customHeight="1" x14ac:dyDescent="0.3">
      <c r="A6" s="11" t="s">
        <v>3</v>
      </c>
      <c r="B6" s="7" t="s">
        <v>4</v>
      </c>
      <c r="C6" s="7"/>
      <c r="D6" s="7"/>
      <c r="E6" s="7"/>
    </row>
    <row r="7" spans="1:5" ht="15" customHeight="1" x14ac:dyDescent="0.3">
      <c r="A7" s="11" t="s">
        <v>5</v>
      </c>
      <c r="B7" s="7" t="s">
        <v>6</v>
      </c>
      <c r="C7" s="7"/>
      <c r="D7" s="7"/>
      <c r="E7" s="7"/>
    </row>
    <row r="8" spans="1:5" ht="15" customHeight="1" x14ac:dyDescent="0.3">
      <c r="A8" s="11" t="s">
        <v>7</v>
      </c>
      <c r="B8" s="7" t="s">
        <v>8</v>
      </c>
      <c r="C8" s="7"/>
      <c r="D8" s="7"/>
      <c r="E8" s="7"/>
    </row>
    <row r="9" spans="1:5" ht="15" customHeight="1" x14ac:dyDescent="0.3">
      <c r="A9" s="11" t="s">
        <v>9</v>
      </c>
      <c r="B9" s="7" t="s">
        <v>10</v>
      </c>
      <c r="C9" s="7"/>
      <c r="D9" s="7"/>
      <c r="E9" s="7"/>
    </row>
    <row r="10" spans="1:5" ht="15" customHeight="1" x14ac:dyDescent="0.3">
      <c r="A10" s="11" t="s">
        <v>11</v>
      </c>
      <c r="B10" s="7" t="s">
        <v>12</v>
      </c>
      <c r="C10" s="7"/>
      <c r="D10" s="7"/>
      <c r="E10" s="7"/>
    </row>
    <row r="11" spans="1:5" ht="15" customHeight="1" x14ac:dyDescent="0.3">
      <c r="A11" s="11" t="s">
        <v>13</v>
      </c>
      <c r="B11" s="7" t="s">
        <v>14</v>
      </c>
      <c r="C11" s="7"/>
      <c r="D11" s="7"/>
      <c r="E11" s="7"/>
    </row>
    <row r="12" spans="1:5" ht="15" customHeight="1" x14ac:dyDescent="0.3">
      <c r="A12" s="11" t="s">
        <v>15</v>
      </c>
      <c r="B12" s="7" t="s">
        <v>16</v>
      </c>
      <c r="C12" s="7"/>
      <c r="D12" s="7"/>
      <c r="E12" s="7"/>
    </row>
    <row r="14" spans="1:5" ht="19.5" customHeight="1" x14ac:dyDescent="0.3">
      <c r="A14" s="6" t="s">
        <v>17</v>
      </c>
      <c r="B14" s="6"/>
      <c r="C14" s="6"/>
      <c r="D14" s="6"/>
      <c r="E14" s="6"/>
    </row>
    <row r="15" spans="1:5" x14ac:dyDescent="0.3">
      <c r="A15" s="11" t="s">
        <v>18</v>
      </c>
      <c r="B15" s="13">
        <f>COUNTA('Casos de prueba'!$A$5:$A$200)</f>
        <v>59</v>
      </c>
    </row>
    <row r="16" spans="1:5" x14ac:dyDescent="0.3">
      <c r="A16" s="11" t="s">
        <v>19</v>
      </c>
      <c r="B16" s="13">
        <f>COUNTIF('Casos de prueba'!$G$5:$G$200,"Crítica")</f>
        <v>15</v>
      </c>
    </row>
    <row r="17" spans="1:5" x14ac:dyDescent="0.3">
      <c r="A17" s="11" t="s">
        <v>20</v>
      </c>
      <c r="B17" s="13">
        <f>COUNTIF('Casos de prueba'!$Q$5:$Q$200,"Aprobado")</f>
        <v>55</v>
      </c>
    </row>
    <row r="18" spans="1:5" x14ac:dyDescent="0.3">
      <c r="A18" s="11" t="s">
        <v>21</v>
      </c>
      <c r="B18" s="13">
        <f>COUNTIF('Casos de prueba'!$Q$5:$Q$200,"En seguimiento")</f>
        <v>0</v>
      </c>
    </row>
    <row r="19" spans="1:5" x14ac:dyDescent="0.3">
      <c r="A19" s="11" t="s">
        <v>22</v>
      </c>
      <c r="B19" s="13">
        <f>COUNTIF('Casos de prueba'!$Q$5:$Q$200,"Rechazado")</f>
        <v>0</v>
      </c>
    </row>
    <row r="20" spans="1:5" x14ac:dyDescent="0.3">
      <c r="A20" s="11" t="s">
        <v>23</v>
      </c>
      <c r="B20" s="13">
        <f>B15-B17-B18-B19</f>
        <v>4</v>
      </c>
    </row>
    <row r="21" spans="1:5" x14ac:dyDescent="0.3">
      <c r="A21" s="11" t="s">
        <v>24</v>
      </c>
      <c r="B21" s="14">
        <f>IF(B15=0,0,(B17+B18+B19)/B15)</f>
        <v>0.932203389830508</v>
      </c>
    </row>
    <row r="22" spans="1:5" x14ac:dyDescent="0.3">
      <c r="A22" s="11" t="s">
        <v>25</v>
      </c>
      <c r="B22" s="13">
        <f>Trazabilidad!D20</f>
        <v>0</v>
      </c>
    </row>
    <row r="24" spans="1:5" ht="19.5" customHeight="1" x14ac:dyDescent="0.3">
      <c r="A24" s="6" t="s">
        <v>26</v>
      </c>
      <c r="B24" s="6"/>
      <c r="C24" s="6"/>
      <c r="D24" s="6"/>
      <c r="E24" s="6"/>
    </row>
    <row r="25" spans="1:5" ht="42" customHeight="1" x14ac:dyDescent="0.3">
      <c r="A25" s="11" t="s">
        <v>27</v>
      </c>
      <c r="B25" s="7" t="s">
        <v>28</v>
      </c>
      <c r="C25" s="7"/>
      <c r="D25" s="7"/>
      <c r="E25" s="7"/>
    </row>
    <row r="26" spans="1:5" ht="27.75" customHeight="1" x14ac:dyDescent="0.3">
      <c r="A26" s="11" t="s">
        <v>29</v>
      </c>
      <c r="B26" s="7" t="s">
        <v>30</v>
      </c>
      <c r="C26" s="7"/>
      <c r="D26" s="7"/>
      <c r="E26" s="7"/>
    </row>
    <row r="27" spans="1:5" ht="42" customHeight="1" x14ac:dyDescent="0.3">
      <c r="A27" s="11" t="s">
        <v>31</v>
      </c>
      <c r="B27" s="7" t="s">
        <v>32</v>
      </c>
      <c r="C27" s="7"/>
      <c r="D27" s="7"/>
      <c r="E27" s="7"/>
    </row>
    <row r="28" spans="1:5" ht="27.75" customHeight="1" x14ac:dyDescent="0.3">
      <c r="A28" s="11" t="s">
        <v>33</v>
      </c>
      <c r="B28" s="7" t="s">
        <v>34</v>
      </c>
      <c r="C28" s="7"/>
      <c r="D28" s="7"/>
      <c r="E28" s="7"/>
    </row>
    <row r="30" spans="1:5" ht="19.5" customHeight="1" x14ac:dyDescent="0.3">
      <c r="A30" s="6" t="s">
        <v>35</v>
      </c>
      <c r="B30" s="6"/>
      <c r="C30" s="6"/>
      <c r="D30" s="6"/>
      <c r="E30" s="6"/>
    </row>
    <row r="31" spans="1:5" ht="18" customHeight="1" x14ac:dyDescent="0.3">
      <c r="A31" s="15" t="s">
        <v>36</v>
      </c>
      <c r="B31" s="7" t="s">
        <v>37</v>
      </c>
      <c r="C31" s="7"/>
      <c r="D31" s="7"/>
      <c r="E31" s="7"/>
    </row>
    <row r="32" spans="1:5" ht="30" customHeight="1" x14ac:dyDescent="0.3">
      <c r="A32" s="15" t="s">
        <v>38</v>
      </c>
      <c r="B32" s="7" t="s">
        <v>39</v>
      </c>
      <c r="C32" s="7"/>
      <c r="D32" s="7"/>
      <c r="E32" s="7"/>
    </row>
    <row r="33" spans="1:5" ht="30" customHeight="1" x14ac:dyDescent="0.3">
      <c r="A33" s="15" t="s">
        <v>40</v>
      </c>
      <c r="B33" s="7" t="s">
        <v>41</v>
      </c>
      <c r="C33" s="7"/>
      <c r="D33" s="7"/>
      <c r="E33" s="7"/>
    </row>
    <row r="34" spans="1:5" ht="30" customHeight="1" x14ac:dyDescent="0.3">
      <c r="A34" s="15" t="s">
        <v>42</v>
      </c>
      <c r="B34" s="7" t="s">
        <v>43</v>
      </c>
      <c r="C34" s="7"/>
      <c r="D34" s="7"/>
      <c r="E34" s="7"/>
    </row>
    <row r="35" spans="1:5" ht="30" customHeight="1" x14ac:dyDescent="0.3">
      <c r="A35" s="15" t="s">
        <v>44</v>
      </c>
      <c r="B35" s="7" t="s">
        <v>45</v>
      </c>
      <c r="C35" s="7"/>
      <c r="D35" s="7"/>
      <c r="E35" s="7"/>
    </row>
    <row r="36" spans="1:5" ht="18" customHeight="1" x14ac:dyDescent="0.3">
      <c r="A36" s="15" t="s">
        <v>46</v>
      </c>
      <c r="B36" s="7" t="s">
        <v>47</v>
      </c>
      <c r="C36" s="7"/>
      <c r="D36" s="7"/>
      <c r="E36" s="7"/>
    </row>
  </sheetData>
  <mergeCells count="23">
    <mergeCell ref="B34:E34"/>
    <mergeCell ref="B35:E35"/>
    <mergeCell ref="B36:E36"/>
    <mergeCell ref="B28:E28"/>
    <mergeCell ref="A30:E30"/>
    <mergeCell ref="B31:E31"/>
    <mergeCell ref="B32:E32"/>
    <mergeCell ref="B33:E33"/>
    <mergeCell ref="A14:E14"/>
    <mergeCell ref="A24:E24"/>
    <mergeCell ref="B25:E25"/>
    <mergeCell ref="B26:E26"/>
    <mergeCell ref="B27:E27"/>
    <mergeCell ref="B8:E8"/>
    <mergeCell ref="B9:E9"/>
    <mergeCell ref="B10:E10"/>
    <mergeCell ref="B11:E11"/>
    <mergeCell ref="B12:E12"/>
    <mergeCell ref="A1:E1"/>
    <mergeCell ref="A3:E3"/>
    <mergeCell ref="A4:E4"/>
    <mergeCell ref="B6:E6"/>
    <mergeCell ref="B7:E7"/>
  </mergeCells>
  <pageMargins left="0.4" right="0.4" top="0.5" bottom="0.5" header="0.511811023622047" footer="0.5"/>
  <pageSetup fitToHeight="0" orientation="portrait" horizontalDpi="300" verticalDpi="300"/>
  <headerFooter>
    <oddFooter>&amp;C&amp;8 Pastoreando · GA9-220501096-AA3-EV01 ·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3"/>
  <sheetViews>
    <sheetView zoomScale="55" zoomScaleNormal="55" workbookViewId="0">
      <pane xSplit="3" ySplit="4" topLeftCell="J5" activePane="bottomRight" state="frozen"/>
      <selection pane="topRight" activeCell="D1" sqref="D1"/>
      <selection pane="bottomLeft" activeCell="A5" sqref="A5"/>
      <selection pane="bottomRight" activeCell="F56" sqref="F56"/>
    </sheetView>
  </sheetViews>
  <sheetFormatPr baseColWidth="10" defaultColWidth="8.6640625" defaultRowHeight="14.4" x14ac:dyDescent="0.3"/>
  <cols>
    <col min="1" max="1" width="10" customWidth="1"/>
    <col min="2" max="2" width="13" customWidth="1"/>
    <col min="3" max="3" width="30" customWidth="1"/>
    <col min="4" max="4" width="12" customWidth="1"/>
    <col min="5" max="5" width="22" customWidth="1"/>
    <col min="6" max="6" width="14" customWidth="1"/>
    <col min="7" max="7" width="11" customWidth="1"/>
    <col min="8" max="8" width="48" customWidth="1"/>
    <col min="9" max="9" width="38" customWidth="1"/>
    <col min="10" max="10" width="18" customWidth="1"/>
    <col min="11" max="11" width="30" customWidth="1"/>
    <col min="12" max="12" width="24" customWidth="1"/>
    <col min="13" max="14" width="46" customWidth="1"/>
    <col min="15" max="15" width="13" customWidth="1"/>
    <col min="16" max="16" width="40" customWidth="1"/>
    <col min="17" max="17" width="15" customWidth="1"/>
    <col min="18" max="18" width="16" customWidth="1"/>
    <col min="19" max="19" width="12" customWidth="1"/>
    <col min="20" max="20" width="32" customWidth="1"/>
    <col min="21" max="21" width="24" customWidth="1"/>
  </cols>
  <sheetData>
    <row r="1" spans="1:21" ht="27.75" customHeight="1" x14ac:dyDescent="0.3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21" ht="27.75" customHeight="1" x14ac:dyDescent="0.3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1" ht="19.5" customHeight="1" x14ac:dyDescent="0.3">
      <c r="A3" s="10" t="s">
        <v>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3" t="s">
        <v>51</v>
      </c>
      <c r="P3" s="3"/>
      <c r="Q3" s="3"/>
      <c r="R3" s="3"/>
      <c r="S3" s="3"/>
      <c r="T3" s="3"/>
      <c r="U3" s="3"/>
    </row>
    <row r="4" spans="1:21" ht="42" customHeight="1" x14ac:dyDescent="0.3">
      <c r="A4" s="16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  <c r="K4" s="16" t="s">
        <v>62</v>
      </c>
      <c r="L4" s="16" t="s">
        <v>63</v>
      </c>
      <c r="M4" s="16" t="s">
        <v>64</v>
      </c>
      <c r="N4" s="16" t="s">
        <v>65</v>
      </c>
      <c r="O4" s="17" t="s">
        <v>66</v>
      </c>
      <c r="P4" s="17" t="s">
        <v>67</v>
      </c>
      <c r="Q4" s="17" t="s">
        <v>68</v>
      </c>
      <c r="R4" s="17" t="s">
        <v>69</v>
      </c>
      <c r="S4" s="17" t="s">
        <v>70</v>
      </c>
      <c r="T4" s="17" t="s">
        <v>3</v>
      </c>
      <c r="U4" s="17" t="s">
        <v>71</v>
      </c>
    </row>
    <row r="5" spans="1:21" x14ac:dyDescent="0.3" ht="82.8" customHeight="1">
      <c r="A5" s="18" t="s">
        <v>72</v>
      </c>
      <c r="B5" s="12" t="s">
        <v>73</v>
      </c>
      <c r="C5" s="19" t="s">
        <v>74</v>
      </c>
      <c r="D5" s="13" t="s">
        <v>75</v>
      </c>
      <c r="E5" s="12" t="s">
        <v>76</v>
      </c>
      <c r="F5" s="12" t="s">
        <v>77</v>
      </c>
      <c r="G5" s="13" t="s">
        <v>78</v>
      </c>
      <c r="H5" s="12" t="s">
        <v>79</v>
      </c>
      <c r="I5" s="12" t="s">
        <v>80</v>
      </c>
      <c r="J5" s="12" t="s">
        <v>81</v>
      </c>
      <c r="K5" s="12" t="s">
        <v>82</v>
      </c>
      <c r="L5" s="12" t="s">
        <v>8</v>
      </c>
      <c r="M5" s="12" t="s">
        <v>83</v>
      </c>
      <c r="N5" s="12" t="s">
        <v>84</v>
      </c>
      <c r="O5" s="20">
        <v>46321</v>
      </c>
      <c r="P5" s="21" t="inlineStr">
        <is>
          <t xml:space="preserve">Código 200 y campo id_calculo presente en las 50 ejecuciones; 0 errores; tiempo medio de 16 ms y máximo de 108 ms (límite de 2000 ms).</t>
        </is>
      </c>
      <c r="Q5" s="22" t="inlineStr">
        <is>
          <t xml:space="preserve">Aprobado</t>
        </is>
      </c>
      <c r="R5" s="22" t="inlineStr">
        <is>
          <t xml:space="preserve">Los importes los comprueba pytest (CP-004); el plan de JMeter valida código, id_calculo y tiempo.</t>
        </is>
      </c>
      <c r="S5" s="22" t="inlineStr">
        <is>
          <t xml:space="preserve">No aplica</t>
        </is>
      </c>
      <c r="T5" s="21" t="inlineStr">
        <is>
          <t xml:space="preserve">ejecucion/jmeter_20261026.jtl y captura del resumen de la terminal (250 muestras, 0 errores) en el informe EV01.</t>
        </is>
      </c>
      <c r="U5" s="21" t="inlineStr">
        <is>
          <t xml:space="preserve">Brayian Jhovany Piedrahita Cortes</t>
        </is>
      </c>
    </row>
    <row r="6" spans="1:21" x14ac:dyDescent="0.3" ht="70.0" customHeight="1">
      <c r="A6" s="15" t="s">
        <v>89</v>
      </c>
      <c r="B6" s="23" t="s">
        <v>73</v>
      </c>
      <c r="C6" s="11" t="s">
        <v>90</v>
      </c>
      <c r="D6" s="24" t="s">
        <v>75</v>
      </c>
      <c r="E6" s="23" t="s">
        <v>76</v>
      </c>
      <c r="F6" s="23" t="s">
        <v>77</v>
      </c>
      <c r="G6" s="24" t="s">
        <v>78</v>
      </c>
      <c r="H6" s="23" t="s">
        <v>91</v>
      </c>
      <c r="I6" s="23" t="inlineStr">
        <is>
          <t xml:space="preserve">E3 · Backend: pytest con Python 3.13 y SQLite temporal por prueba</t>
        </is>
      </c>
      <c r="J6" s="23" t="inlineStr">
        <is>
          <t xml:space="preserve">pytest</t>
        </is>
      </c>
      <c r="K6" s="23" t="inlineStr">
        <is>
          <t xml:space="preserve">tests/test_ga9_limites.py (CP-002-leche) y tests/test_dominio.py</t>
        </is>
      </c>
      <c r="L6" s="23" t="s">
        <v>8</v>
      </c>
      <c r="M6" s="23" t="s">
        <v>94</v>
      </c>
      <c r="N6" s="23" t="s">
        <v>95</v>
      </c>
      <c r="O6" s="20">
        <v>46321</v>
      </c>
      <c r="P6" s="21" t="inlineStr">
        <is>
          <t xml:space="preserve">Código 200; costo base 240.000; factor 1,10; margen 52.800; costo unitario final 316.800; total del lote 15.840.000.</t>
        </is>
      </c>
      <c r="Q6" s="22" t="inlineStr">
        <is>
          <t xml:space="preserve">Aprobado</t>
        </is>
      </c>
      <c r="R6" s="22" t="inlineStr">
        <is>
          <t xml:space="preserve">Se ejecutó con pytest en lugar de Postman: misma verificación, automatizada.</t>
        </is>
      </c>
      <c r="S6" s="22" t="inlineStr">
        <is>
          <t xml:space="preserve">No aplica</t>
        </is>
      </c>
      <c r="T6" s="21" t="inlineStr">
        <is>
          <t xml:space="preserve">docs/pruebas/ejecucion/resultados/pytest_sqlite_20261026_final.log y pytest_mysql_20261026_final.log</t>
        </is>
      </c>
      <c r="U6" s="21" t="inlineStr">
        <is>
          <t xml:space="preserve">Brayian Jhovany Piedrahita Cortes</t>
        </is>
      </c>
    </row>
    <row r="7" spans="1:21" x14ac:dyDescent="0.3" ht="44.4" customHeight="1">
      <c r="A7" s="18" t="s">
        <v>96</v>
      </c>
      <c r="B7" s="12" t="s">
        <v>73</v>
      </c>
      <c r="C7" s="19" t="s">
        <v>97</v>
      </c>
      <c r="D7" s="13" t="s">
        <v>75</v>
      </c>
      <c r="E7" s="12" t="s">
        <v>76</v>
      </c>
      <c r="F7" s="12" t="s">
        <v>98</v>
      </c>
      <c r="G7" s="13" t="s">
        <v>78</v>
      </c>
      <c r="H7" s="12" t="s">
        <v>99</v>
      </c>
      <c r="I7" s="12" t="s">
        <v>100</v>
      </c>
      <c r="J7" s="12" t="s">
        <v>101</v>
      </c>
      <c r="K7" s="12" t="inlineStr">
        <is>
          <t xml:space="preserve">tests/test_costos.py, tests/test_dominio.py, tests/test_ga9_limites.py</t>
        </is>
      </c>
      <c r="L7" s="12" t="s">
        <v>8</v>
      </c>
      <c r="M7" s="12" t="s">
        <v>103</v>
      </c>
      <c r="N7" s="12" t="s">
        <v>104</v>
      </c>
      <c r="O7" s="20">
        <v>46321</v>
      </c>
      <c r="P7" s="21" t="inlineStr">
        <is>
          <t xml:space="preserve">Costo base 240.000; factor 1,05; margen 50.400; costo unitario final 302.400; total del lote 15.120.000.</t>
        </is>
      </c>
      <c r="Q7" s="22" t="inlineStr">
        <is>
          <t xml:space="preserve">Aprobado</t>
        </is>
      </c>
      <c r="R7" s="22" t="inlineStr">
        <is>
          <t xml:space="preserve">No aplica</t>
        </is>
      </c>
      <c r="S7" s="22" t="inlineStr">
        <is>
          <t xml:space="preserve">No aplica</t>
        </is>
      </c>
      <c r="T7" s="21" t="inlineStr">
        <is>
          <t xml:space="preserve">docs/pruebas/ejecucion/resultados/pytest_sqlite_20261026_final.log y pytest_mysql_20261026_final.log</t>
        </is>
      </c>
      <c r="U7" s="21" t="inlineStr">
        <is>
          <t xml:space="preserve">Brayian Jhovany Piedrahita Cortes</t>
        </is>
      </c>
    </row>
    <row r="8" spans="1:21" x14ac:dyDescent="0.3" ht="70.0" customHeight="1">
      <c r="A8" s="15" t="s">
        <v>105</v>
      </c>
      <c r="B8" s="23" t="s">
        <v>73</v>
      </c>
      <c r="C8" s="11" t="s">
        <v>106</v>
      </c>
      <c r="D8" s="24" t="s">
        <v>107</v>
      </c>
      <c r="E8" s="23" t="s">
        <v>76</v>
      </c>
      <c r="F8" s="23" t="s">
        <v>98</v>
      </c>
      <c r="G8" s="24" t="s">
        <v>108</v>
      </c>
      <c r="H8" s="23" t="s">
        <v>109</v>
      </c>
      <c r="I8" s="23" t="s">
        <v>100</v>
      </c>
      <c r="J8" s="23" t="s">
        <v>101</v>
      </c>
      <c r="K8" s="23" t="inlineStr">
        <is>
          <t xml:space="preserve">tests/test_costos.py, tests/test_ga9_complemento.py</t>
        </is>
      </c>
      <c r="L8" s="23" t="s">
        <v>8</v>
      </c>
      <c r="M8" s="23" t="s">
        <v>111</v>
      </c>
      <c r="N8" s="23" t="s">
        <v>112</v>
      </c>
      <c r="O8" s="20">
        <v>46321</v>
      </c>
      <c r="P8" s="21" t="inlineStr">
        <is>
          <t xml:space="preserve">Alimentación 50 % (6.000.000 del lote; 120.000 por cabeza), mantenimiento 25 %, servicios 12,5 % e impuestos 12,5 %; suma 100 %; cada valor por cabeza coincide con su porcentaje de 240.000.</t>
        </is>
      </c>
      <c r="Q8" s="22" t="inlineStr">
        <is>
          <t xml:space="preserve">Aprobado</t>
        </is>
      </c>
      <c r="R8" s="22" t="inlineStr">
        <is>
          <t xml:space="preserve">No aplica</t>
        </is>
      </c>
      <c r="S8" s="22" t="inlineStr">
        <is>
          <t xml:space="preserve">No aplica</t>
        </is>
      </c>
      <c r="T8" s="21" t="inlineStr">
        <is>
          <t xml:space="preserve">docs/pruebas/ejecucion/resultados/pytest_sqlite_20261026_final.log y pytest_mysql_20261026_final.log</t>
        </is>
      </c>
      <c r="U8" s="21" t="inlineStr">
        <is>
          <t xml:space="preserve">Brayian Jhovany Piedrahita Cortes</t>
        </is>
      </c>
    </row>
    <row r="9" spans="1:21" x14ac:dyDescent="0.3" ht="57.2" customHeight="1">
      <c r="A9" s="18" t="s">
        <v>113</v>
      </c>
      <c r="B9" s="12" t="s">
        <v>73</v>
      </c>
      <c r="C9" s="19" t="s">
        <v>114</v>
      </c>
      <c r="D9" s="13" t="s">
        <v>75</v>
      </c>
      <c r="E9" s="12" t="s">
        <v>76</v>
      </c>
      <c r="F9" s="12" t="s">
        <v>98</v>
      </c>
      <c r="G9" s="13" t="s">
        <v>108</v>
      </c>
      <c r="H9" s="12" t="s">
        <v>115</v>
      </c>
      <c r="I9" s="12" t="s">
        <v>100</v>
      </c>
      <c r="J9" s="12" t="s">
        <v>101</v>
      </c>
      <c r="K9" s="12" t="inlineStr">
        <is>
          <t xml:space="preserve">tests/test_costos.py, tests/test_validaciones.py, tests/test_ga9_complemento.py</t>
        </is>
      </c>
      <c r="L9" s="12" t="s">
        <v>8</v>
      </c>
      <c r="M9" s="12" t="s">
        <v>117</v>
      </c>
      <c r="N9" s="12" t="s">
        <v>118</v>
      </c>
      <c r="O9" s="20">
        <v>46321</v>
      </c>
      <c r="P9" s="21" t="inlineStr">
        <is>
          <t xml:space="preserve">Animales en 0, negativos y con texto, cuatro rubros en 0, rubro negativo y propósito «Cerdos»: los seis responden 422 y el historial queda igual.</t>
        </is>
      </c>
      <c r="Q9" s="22" t="inlineStr">
        <is>
          <t xml:space="preserve">Aprobado</t>
        </is>
      </c>
      <c r="R9" s="22" t="inlineStr">
        <is>
          <t xml:space="preserve">No aplica</t>
        </is>
      </c>
      <c r="S9" s="22" t="inlineStr">
        <is>
          <t xml:space="preserve">No aplica</t>
        </is>
      </c>
      <c r="T9" s="21" t="inlineStr">
        <is>
          <t xml:space="preserve">docs/pruebas/ejecucion/resultados/pytest_sqlite_20261026_final.log y pytest_mysql_20261026_final.log</t>
        </is>
      </c>
      <c r="U9" s="21" t="inlineStr">
        <is>
          <t xml:space="preserve">Brayian Jhovany Piedrahita Cortes</t>
        </is>
      </c>
    </row>
    <row r="10" spans="1:21" x14ac:dyDescent="0.3" ht="44.4" customHeight="1">
      <c r="A10" s="15" t="s">
        <v>119</v>
      </c>
      <c r="B10" s="23" t="s">
        <v>73</v>
      </c>
      <c r="C10" s="11" t="s">
        <v>120</v>
      </c>
      <c r="D10" s="24" t="s">
        <v>75</v>
      </c>
      <c r="E10" s="23" t="s">
        <v>76</v>
      </c>
      <c r="F10" s="23" t="s">
        <v>121</v>
      </c>
      <c r="G10" s="24" t="s">
        <v>108</v>
      </c>
      <c r="H10" s="23" t="s">
        <v>122</v>
      </c>
      <c r="I10" s="23" t="s">
        <v>100</v>
      </c>
      <c r="J10" s="23" t="s">
        <v>101</v>
      </c>
      <c r="K10" s="23" t="inlineStr">
        <is>
          <t xml:space="preserve">tests/test_costos.py, tests/test_ga9_limites.py</t>
        </is>
      </c>
      <c r="L10" s="23" t="s">
        <v>8</v>
      </c>
      <c r="M10" s="23" t="s">
        <v>123</v>
      </c>
      <c r="N10" s="23" t="s">
        <v>124</v>
      </c>
      <c r="O10" s="20">
        <v>46321</v>
      </c>
      <c r="P10" s="21" t="inlineStr">
        <is>
          <t xml:space="preserve">Técnico recibe 403; Contador, Propietario y Arrendatario reciben 200.</t>
        </is>
      </c>
      <c r="Q10" s="22" t="inlineStr">
        <is>
          <t xml:space="preserve">Aprobado</t>
        </is>
      </c>
      <c r="R10" s="22" t="inlineStr">
        <is>
          <t xml:space="preserve">No aplica</t>
        </is>
      </c>
      <c r="S10" s="22" t="inlineStr">
        <is>
          <t xml:space="preserve">No aplica</t>
        </is>
      </c>
      <c r="T10" s="21" t="inlineStr">
        <is>
          <t xml:space="preserve">docs/pruebas/ejecucion/resultados/pytest_sqlite_20261026_final.log y pytest_mysql_20261026_final.log</t>
        </is>
      </c>
      <c r="U10" s="21" t="inlineStr">
        <is>
          <t xml:space="preserve">Brayian Jhovany Piedrahita Cortes</t>
        </is>
      </c>
    </row>
    <row r="11" spans="1:21" x14ac:dyDescent="0.3" ht="223.6" customHeight="1">
      <c r="A11" s="18" t="s">
        <v>125</v>
      </c>
      <c r="B11" s="12" t="s">
        <v>73</v>
      </c>
      <c r="C11" s="19" t="s">
        <v>126</v>
      </c>
      <c r="D11" s="13" t="s">
        <v>107</v>
      </c>
      <c r="E11" s="12" t="s">
        <v>76</v>
      </c>
      <c r="F11" s="12" t="s">
        <v>127</v>
      </c>
      <c r="G11" s="13" t="s">
        <v>108</v>
      </c>
      <c r="H11" s="12" t="inlineStr">
        <is>
          <t xml:space="preserve">Prueba funcional y de usabilidad en el navegador: se diligencia el formulario, se calcula y se revisa el desglose por rubro (valor, porcentaje y vista por unidad ganadera o lote completo); luego se deja un dato inválido y se comprueba que no queda a la vista un resultado anterior.</t>
        </is>
      </c>
      <c r="I11" s="12" t="s">
        <v>129</v>
      </c>
      <c r="J11" s="12" t="s">
        <v>130</v>
      </c>
      <c r="K11" s="12" t="inlineStr">
        <is>
          <t xml:space="preserve">Manual (Edge) y, para la regresión de DEF-001, frontend-react/src/pruebas/componentes.test.jsx y navegacion.test.jsx</t>
        </is>
      </c>
      <c r="L11" s="12" t="s">
        <v>8</v>
      </c>
      <c r="M11" s="12" t="s">
        <v>132</v>
      </c>
      <c r="N11" s="12" t="inlineStr">
        <is>
          <t xml:space="preserve">El resultado muestra costo por cabeza y total del lote; el desglose muestra el valor de cada rubro y su porcentaje; los errores aparecen junto al campo y, mientras los datos no sean válidos, el resultado anterior no queda en pantalla.</t>
        </is>
      </c>
      <c r="O11" s="20">
        <v>46321</v>
      </c>
      <c r="P11" s="21" t="inlineStr">
        <is>
          <t xml:space="preserve">Primera ejecución: con los datos del caso 001 el resultado es $288.000 por cabeza y $14.400.000 del lote, con valor y porcentaje por rubro y vista por unidad ganadera o lote completo; con 0 animales aparecía «Debe ser mayor o igual a 1» pero el resultado anterior seguía en pantalla (DEF-001). Repetición con la corrección (commit 3f13120): calcula con 50 animales y, al dejar 0, aparece «Debe ser mayor o igual a 1», el resultado desaparece y el panel vuelve a «Ingrese los valores y presione calcular».</t>
        </is>
      </c>
      <c r="Q11" s="22" t="inlineStr">
        <is>
          <t xml:space="preserve">Aprobado</t>
        </is>
      </c>
      <c r="R11" s="22" t="inlineStr">
        <is>
          <t xml:space="preserve">DEF-001 (severidad Baja) corregido y verificado el 26-oct-2026; la regresión de la interfaz queda en 161 de 161 pruebas. Ajuste al diseño del caso: la web muestra el desglose siempre visible y el despliegue al tocar un rubro es de la app móvil, por eso se corrigió el texto del caso.</t>
        </is>
      </c>
      <c r="S11" s="22" t="inlineStr">
        <is>
          <t xml:space="preserve">Baja</t>
        </is>
      </c>
      <c r="T11" s="21" t="inlineStr">
        <is>
          <t xml:space="preserve">Capturas del módulo contable (unidad, lote, error y repetición) en el informe EV01 y docs/pruebas/ejecucion/resultados/vitest_20261026_correccion.log</t>
        </is>
      </c>
      <c r="U11" s="21" t="inlineStr">
        <is>
          <t xml:space="preserve">Brayian Jhovany Piedrahita Cortes</t>
        </is>
      </c>
    </row>
    <row r="12" spans="1:21" x14ac:dyDescent="0.3" ht="82.8" customHeight="1">
      <c r="A12" s="15" t="s">
        <v>134</v>
      </c>
      <c r="B12" s="23" t="s">
        <v>73</v>
      </c>
      <c r="C12" s="11" t="s">
        <v>135</v>
      </c>
      <c r="D12" s="24" t="s">
        <v>136</v>
      </c>
      <c r="E12" s="23" t="s">
        <v>137</v>
      </c>
      <c r="F12" s="23" t="s">
        <v>77</v>
      </c>
      <c r="G12" s="24" t="s">
        <v>78</v>
      </c>
      <c r="H12" s="23" t="s">
        <v>138</v>
      </c>
      <c r="I12" s="23" t="s">
        <v>129</v>
      </c>
      <c r="J12" s="23" t="s">
        <v>130</v>
      </c>
      <c r="K12" s="23" t="s">
        <v>139</v>
      </c>
      <c r="L12" s="23" t="s">
        <v>8</v>
      </c>
      <c r="M12" s="23" t="s">
        <v>140</v>
      </c>
      <c r="N12" s="23" t="s">
        <v>141</v>
      </c>
      <c r="O12" s="20">
        <v>46321</v>
      </c>
      <c r="P12" s="21" t="inlineStr">
        <is>
          <t xml:space="preserve">Se registra «Ana María Soto Peña» como Propietario; la pantalla muestra «Registro exitoso. Ahora puede iniciar sesión.» y el inicio de sesión con el usuario nuevo abre el panel con el rol Propietario.</t>
        </is>
      </c>
      <c r="Q12" s="22" t="inlineStr">
        <is>
          <t xml:space="preserve">Aprobado</t>
        </is>
      </c>
      <c r="R12" s="22" t="inlineStr">
        <is>
          <t xml:space="preserve">La interfaz no muestra el texto de la API; el 201 y la ausencia de contraseña los verifica Postman.</t>
        </is>
      </c>
      <c r="S12" s="22" t="inlineStr">
        <is>
          <t xml:space="preserve">No aplica</t>
        </is>
      </c>
      <c r="T12" s="21" t="inlineStr">
        <is>
          <t xml:space="preserve">Capturas del formulario de registro, del mensaje y del panel en el informe EV01.</t>
        </is>
      </c>
      <c r="U12" s="21" t="inlineStr">
        <is>
          <t xml:space="preserve">Brayian Jhovany Piedrahita Cortes</t>
        </is>
      </c>
    </row>
    <row r="13" spans="1:21" x14ac:dyDescent="0.3" ht="44.4" customHeight="1">
      <c r="A13" s="18" t="s">
        <v>142</v>
      </c>
      <c r="B13" s="12" t="s">
        <v>73</v>
      </c>
      <c r="C13" s="19" t="s">
        <v>143</v>
      </c>
      <c r="D13" s="13" t="s">
        <v>136</v>
      </c>
      <c r="E13" s="12" t="s">
        <v>137</v>
      </c>
      <c r="F13" s="12" t="s">
        <v>77</v>
      </c>
      <c r="G13" s="13" t="s">
        <v>108</v>
      </c>
      <c r="H13" s="12" t="s">
        <v>144</v>
      </c>
      <c r="I13" s="12" t="s">
        <v>100</v>
      </c>
      <c r="J13" s="12" t="s">
        <v>101</v>
      </c>
      <c r="K13" s="12" t="s">
        <v>145</v>
      </c>
      <c r="L13" s="12" t="s">
        <v>8</v>
      </c>
      <c r="M13" s="12" t="s">
        <v>146</v>
      </c>
      <c r="N13" s="12" t="s">
        <v>147</v>
      </c>
      <c r="O13" s="20">
        <v>46321</v>
      </c>
      <c r="P13" s="21" t="inlineStr">
        <is>
          <t xml:space="preserve">Correo repetido y cédula repetida responden 409; no se crea ningún usuario.</t>
        </is>
      </c>
      <c r="Q13" s="22" t="inlineStr">
        <is>
          <t xml:space="preserve">Aprobado</t>
        </is>
      </c>
      <c r="R13" s="22" t="inlineStr">
        <is>
          <t xml:space="preserve">No aplica</t>
        </is>
      </c>
      <c r="S13" s="22" t="inlineStr">
        <is>
          <t xml:space="preserve">No aplica</t>
        </is>
      </c>
      <c r="T13" s="21" t="inlineStr">
        <is>
          <t xml:space="preserve">docs/pruebas/ejecucion/resultados/pytest_sqlite_20261026_final.log y pytest_mysql_20261026_final.log</t>
        </is>
      </c>
      <c r="U13" s="21" t="inlineStr">
        <is>
          <t xml:space="preserve">Brayian Jhovany Piedrahita Cortes</t>
        </is>
      </c>
    </row>
    <row r="14" spans="1:21" x14ac:dyDescent="0.3" ht="44.4" customHeight="1">
      <c r="A14" s="15" t="s">
        <v>148</v>
      </c>
      <c r="B14" s="23" t="s">
        <v>73</v>
      </c>
      <c r="C14" s="11" t="s">
        <v>149</v>
      </c>
      <c r="D14" s="24" t="s">
        <v>136</v>
      </c>
      <c r="E14" s="23" t="s">
        <v>137</v>
      </c>
      <c r="F14" s="23" t="s">
        <v>77</v>
      </c>
      <c r="G14" s="24" t="s">
        <v>108</v>
      </c>
      <c r="H14" s="23" t="s">
        <v>150</v>
      </c>
      <c r="I14" s="23" t="s">
        <v>100</v>
      </c>
      <c r="J14" s="23" t="s">
        <v>101</v>
      </c>
      <c r="K14" s="23" t="s">
        <v>145</v>
      </c>
      <c r="L14" s="23" t="s">
        <v>8</v>
      </c>
      <c r="M14" s="23" t="s">
        <v>151</v>
      </c>
      <c r="N14" s="23" t="s">
        <v>152</v>
      </c>
      <c r="O14" s="20">
        <v>46321</v>
      </c>
      <c r="P14" s="21" t="inlineStr">
        <is>
          <t xml:space="preserve">Técnico y Contador sin código o con código incorrecto son rechazados; Propietario y Arrendatario se registran sin código.</t>
        </is>
      </c>
      <c r="Q14" s="22" t="inlineStr">
        <is>
          <t xml:space="preserve">Aprobado</t>
        </is>
      </c>
      <c r="R14" s="22" t="inlineStr">
        <is>
          <t xml:space="preserve">El Contador no se probó por separado del Técnico.</t>
        </is>
      </c>
      <c r="S14" s="22" t="inlineStr">
        <is>
          <t xml:space="preserve">No aplica</t>
        </is>
      </c>
      <c r="T14" s="21" t="inlineStr">
        <is>
          <t xml:space="preserve">docs/pruebas/ejecucion/resultados/pytest_sqlite_20261026_final.log y pytest_mysql_20261026_final.log</t>
        </is>
      </c>
      <c r="U14" s="21" t="inlineStr">
        <is>
          <t xml:space="preserve">Brayian Jhovany Piedrahita Cortes</t>
        </is>
      </c>
    </row>
    <row r="15" spans="1:21" x14ac:dyDescent="0.3" ht="70.0" customHeight="1">
      <c r="A15" s="18" t="s">
        <v>153</v>
      </c>
      <c r="B15" s="12" t="s">
        <v>73</v>
      </c>
      <c r="C15" s="19" t="s">
        <v>154</v>
      </c>
      <c r="D15" s="13" t="s">
        <v>136</v>
      </c>
      <c r="E15" s="12" t="s">
        <v>137</v>
      </c>
      <c r="F15" s="12" t="s">
        <v>98</v>
      </c>
      <c r="G15" s="13" t="s">
        <v>108</v>
      </c>
      <c r="H15" s="12" t="s">
        <v>155</v>
      </c>
      <c r="I15" s="12" t="s">
        <v>100</v>
      </c>
      <c r="J15" s="12" t="s">
        <v>101</v>
      </c>
      <c r="K15" s="12" t="inlineStr">
        <is>
          <t xml:space="preserve">tests/test_registro.py, tests/test_validaciones.py, tests/test_ga9_limites.py</t>
        </is>
      </c>
      <c r="L15" s="12" t="s">
        <v>8</v>
      </c>
      <c r="M15" s="12" t="s">
        <v>157</v>
      </c>
      <c r="N15" s="12" t="s">
        <v>158</v>
      </c>
      <c r="O15" s="20">
        <v>46321</v>
      </c>
      <c r="P15" s="21" t="inlineStr">
        <is>
          <t xml:space="preserve">Cédulas de 6 y 12 dígitos aceptadas; 5, 13 y con letras rechazadas. Contraseñas de 8 y 72 caracteres con letras y números aceptadas; 7, 73, solo letras y solo números rechazadas con 422 y el campo.</t>
        </is>
      </c>
      <c r="Q15" s="22" t="inlineStr">
        <is>
          <t xml:space="preserve">Aprobado</t>
        </is>
      </c>
      <c r="R15" s="22" t="inlineStr">
        <is>
          <t xml:space="preserve">No aplica</t>
        </is>
      </c>
      <c r="S15" s="22" t="inlineStr">
        <is>
          <t xml:space="preserve">No aplica</t>
        </is>
      </c>
      <c r="T15" s="21" t="inlineStr">
        <is>
          <t xml:space="preserve">docs/pruebas/ejecucion/resultados/pytest_sqlite_20261026_final.log y pytest_mysql_20261026_final.log</t>
        </is>
      </c>
      <c r="U15" s="21" t="inlineStr">
        <is>
          <t xml:space="preserve">Brayian Jhovany Piedrahita Cortes</t>
        </is>
      </c>
    </row>
    <row r="16" spans="1:21" x14ac:dyDescent="0.3" ht="70.0" customHeight="1">
      <c r="A16" s="15" t="s">
        <v>159</v>
      </c>
      <c r="B16" s="23" t="s">
        <v>73</v>
      </c>
      <c r="C16" s="11" t="s">
        <v>160</v>
      </c>
      <c r="D16" s="24" t="s">
        <v>136</v>
      </c>
      <c r="E16" s="23" t="s">
        <v>137</v>
      </c>
      <c r="F16" s="23" t="s">
        <v>77</v>
      </c>
      <c r="G16" s="24" t="s">
        <v>78</v>
      </c>
      <c r="H16" s="23" t="s">
        <v>161</v>
      </c>
      <c r="I16" s="23" t="s">
        <v>80</v>
      </c>
      <c r="J16" s="23" t="s">
        <v>92</v>
      </c>
      <c r="K16" s="23" t="s">
        <v>162</v>
      </c>
      <c r="L16" s="23" t="s">
        <v>8</v>
      </c>
      <c r="M16" s="23" t="s">
        <v>163</v>
      </c>
      <c r="N16" s="23" t="s">
        <v>164</v>
      </c>
      <c r="O16" s="20">
        <v>46321</v>
      </c>
      <c r="P16" s="21" t="inlineStr">
        <is>
          <t xml:space="preserve">Los cuatro inicios de sesión (Propietario, Arrendatario, Técnico y Contador) responden 200 con token JWT de tres partes; GET /api/auth/yo con el token del Propietario responde 200 y devuelve el rol Propietario.</t>
        </is>
      </c>
      <c r="Q16" s="22" t="inlineStr">
        <is>
          <t xml:space="preserve">Aprobado</t>
        </is>
      </c>
      <c r="R16" s="22" t="inlineStr">
        <is>
          <t xml:space="preserve">La colección usa usuarios nuevos y /yo se probó solo con el Propietario.</t>
        </is>
      </c>
      <c r="S16" s="22" t="inlineStr">
        <is>
          <t xml:space="preserve">No aplica</t>
        </is>
      </c>
      <c r="T16" s="21" t="inlineStr">
        <is>
          <t xml:space="preserve">Captura del resumen del Runner de Postman del 26-oct-2026 (136 verificaciones, 0 fallidas) en el informe EV01.</t>
        </is>
      </c>
      <c r="U16" s="21" t="inlineStr">
        <is>
          <t xml:space="preserve">Brayian Jhovany Piedrahita Cortes</t>
        </is>
      </c>
    </row>
    <row r="17" spans="1:21" x14ac:dyDescent="0.3" ht="57.2" customHeight="1">
      <c r="A17" s="18" t="s">
        <v>165</v>
      </c>
      <c r="B17" s="12" t="s">
        <v>73</v>
      </c>
      <c r="C17" s="19" t="s">
        <v>166</v>
      </c>
      <c r="D17" s="13" t="s">
        <v>136</v>
      </c>
      <c r="E17" s="12" t="s">
        <v>137</v>
      </c>
      <c r="F17" s="12" t="s">
        <v>121</v>
      </c>
      <c r="G17" s="13" t="s">
        <v>78</v>
      </c>
      <c r="H17" s="12" t="s">
        <v>167</v>
      </c>
      <c r="I17" s="12" t="s">
        <v>80</v>
      </c>
      <c r="J17" s="12" t="s">
        <v>92</v>
      </c>
      <c r="K17" s="12" t="s">
        <v>168</v>
      </c>
      <c r="L17" s="12" t="s">
        <v>8</v>
      </c>
      <c r="M17" s="12" t="s">
        <v>169</v>
      </c>
      <c r="N17" s="12" t="s">
        <v>170</v>
      </c>
      <c r="O17" s="20">
        <v>46321</v>
      </c>
      <c r="P17" s="21" t="inlineStr">
        <is>
          <t xml:space="preserve">Contraseña incorrecta: 401 con el mensaje «Error en la autenticación» y el detalle «Correo o contraseña incorrectos».</t>
        </is>
      </c>
      <c r="Q17" s="22" t="inlineStr">
        <is>
          <t xml:space="preserve">Aprobado</t>
        </is>
      </c>
      <c r="R17" s="22" t="inlineStr">
        <is>
          <t xml:space="preserve">El correo inexistente no se probó en Postman.</t>
        </is>
      </c>
      <c r="S17" s="22" t="inlineStr">
        <is>
          <t xml:space="preserve">No aplica</t>
        </is>
      </c>
      <c r="T17" s="21" t="inlineStr">
        <is>
          <t xml:space="preserve">Captura del resumen del Runner de Postman del 26-oct-2026 (136 verificaciones, 0 fallidas) en el informe EV01.</t>
        </is>
      </c>
      <c r="U17" s="21" t="inlineStr">
        <is>
          <t xml:space="preserve">Brayian Jhovany Piedrahita Cortes</t>
        </is>
      </c>
    </row>
    <row r="18" spans="1:21" x14ac:dyDescent="0.3" ht="57.2" customHeight="1">
      <c r="A18" s="15" t="s">
        <v>171</v>
      </c>
      <c r="B18" s="23" t="s">
        <v>73</v>
      </c>
      <c r="C18" s="11" t="s">
        <v>172</v>
      </c>
      <c r="D18" s="24" t="s">
        <v>136</v>
      </c>
      <c r="E18" s="23" t="s">
        <v>137</v>
      </c>
      <c r="F18" s="23" t="s">
        <v>121</v>
      </c>
      <c r="G18" s="24" t="s">
        <v>78</v>
      </c>
      <c r="H18" s="23" t="s">
        <v>173</v>
      </c>
      <c r="I18" s="23" t="s">
        <v>80</v>
      </c>
      <c r="J18" s="23" t="s">
        <v>81</v>
      </c>
      <c r="K18" s="23" t="s">
        <v>82</v>
      </c>
      <c r="L18" s="23" t="s">
        <v>8</v>
      </c>
      <c r="M18" s="23" t="s">
        <v>174</v>
      </c>
      <c r="N18" s="23" t="s">
        <v>175</v>
      </c>
      <c r="O18" s="20">
        <v>46321</v>
      </c>
      <c r="P18" s="21" t="inlineStr">
        <is>
          <t xml:space="preserve">Código 401 esperado en las 50 repeticiones, 0 errores; tiempo medio de 4 ms y máximo de 99 ms.</t>
        </is>
      </c>
      <c r="Q18" s="22" t="inlineStr">
        <is>
          <t xml:space="preserve">Aprobado</t>
        </is>
      </c>
      <c r="R18" s="22" t="inlineStr">
        <is>
          <t xml:space="preserve">No aplica</t>
        </is>
      </c>
      <c r="S18" s="22" t="inlineStr">
        <is>
          <t xml:space="preserve">No aplica</t>
        </is>
      </c>
      <c r="T18" s="21" t="inlineStr">
        <is>
          <t xml:space="preserve">ejecucion/jmeter_20261026.jtl y captura del resumen de la terminal (250 muestras, 0 errores) en el informe EV01.</t>
        </is>
      </c>
      <c r="U18" s="21" t="inlineStr">
        <is>
          <t xml:space="preserve">Brayian Jhovany Piedrahita Cortes</t>
        </is>
      </c>
    </row>
    <row r="19" spans="1:21" x14ac:dyDescent="0.3" ht="44.4" customHeight="1">
      <c r="A19" s="18" t="s">
        <v>176</v>
      </c>
      <c r="B19" s="12" t="s">
        <v>73</v>
      </c>
      <c r="C19" s="19" t="s">
        <v>177</v>
      </c>
      <c r="D19" s="13" t="s">
        <v>136</v>
      </c>
      <c r="E19" s="12" t="s">
        <v>137</v>
      </c>
      <c r="F19" s="12" t="s">
        <v>121</v>
      </c>
      <c r="G19" s="13" t="s">
        <v>78</v>
      </c>
      <c r="H19" s="12" t="s">
        <v>178</v>
      </c>
      <c r="I19" s="12" t="s">
        <v>100</v>
      </c>
      <c r="J19" s="12" t="s">
        <v>101</v>
      </c>
      <c r="K19" s="12" t="inlineStr">
        <is>
          <t xml:space="preserve">tests/test_auth.py, tests/test_ga9_limites.py</t>
        </is>
      </c>
      <c r="L19" s="12" t="s">
        <v>8</v>
      </c>
      <c r="M19" s="12" t="s">
        <v>179</v>
      </c>
      <c r="N19" s="12" t="s">
        <v>180</v>
      </c>
      <c r="O19" s="20">
        <v>46321</v>
      </c>
      <c r="P19" s="21" t="inlineStr">
        <is>
          <t xml:space="preserve">Token con la firma alterada y token vencido responden 401; el token vigente sí permite consultar la sesión.</t>
        </is>
      </c>
      <c r="Q19" s="22" t="inlineStr">
        <is>
          <t xml:space="preserve">Aprobado</t>
        </is>
      </c>
      <c r="R19" s="22" t="inlineStr">
        <is>
          <t xml:space="preserve">No se verificó la duración de 60 minutos.</t>
        </is>
      </c>
      <c r="S19" s="22" t="inlineStr">
        <is>
          <t xml:space="preserve">No aplica</t>
        </is>
      </c>
      <c r="T19" s="21" t="inlineStr">
        <is>
          <t xml:space="preserve">docs/pruebas/ejecucion/resultados/pytest_sqlite_20261026_final.log y pytest_mysql_20261026_final.log</t>
        </is>
      </c>
      <c r="U19" s="21" t="inlineStr">
        <is>
          <t xml:space="preserve">Brayian Jhovany Piedrahita Cortes</t>
        </is>
      </c>
    </row>
    <row r="20" spans="1:21" x14ac:dyDescent="0.3" ht="82.8" customHeight="1">
      <c r="A20" s="15" t="s">
        <v>181</v>
      </c>
      <c r="B20" s="23" t="s">
        <v>73</v>
      </c>
      <c r="C20" s="11" t="s">
        <v>182</v>
      </c>
      <c r="D20" s="24" t="s">
        <v>136</v>
      </c>
      <c r="E20" s="23" t="s">
        <v>137</v>
      </c>
      <c r="F20" s="23" t="s">
        <v>77</v>
      </c>
      <c r="G20" s="24" t="s">
        <v>108</v>
      </c>
      <c r="H20" s="23" t="s">
        <v>183</v>
      </c>
      <c r="I20" s="23" t="s">
        <v>129</v>
      </c>
      <c r="J20" s="23" t="s">
        <v>130</v>
      </c>
      <c r="K20" s="23" t="s">
        <v>184</v>
      </c>
      <c r="L20" s="23" t="s">
        <v>8</v>
      </c>
      <c r="M20" s="23" t="s">
        <v>185</v>
      </c>
      <c r="N20" s="23" t="s">
        <v>186</v>
      </c>
      <c r="O20" s="20">
        <v>46321</v>
      </c>
      <c r="P20" s="21" t="inlineStr">
        <is>
          <t xml:space="preserve">Contador y Propietario ven cinco opciones (Panel, Módulo contable, Monitoreo, Contratos y Reportes); el Arrendatario ve cuatro, sin Reportes; el Técnico ve tres: Panel, Monitoreo y Contratos, sin Módulo contable ni Reportes.</t>
        </is>
      </c>
      <c r="Q20" s="22" t="inlineStr">
        <is>
          <t xml:space="preserve">Aprobado</t>
        </is>
      </c>
      <c r="R20" s="22" t="inlineStr">
        <is>
          <t xml:space="preserve">El rechazo 403 del servidor lo verifican CP-006 y Postman.</t>
        </is>
      </c>
      <c r="S20" s="22" t="inlineStr">
        <is>
          <t xml:space="preserve">No aplica</t>
        </is>
      </c>
      <c r="T20" s="21" t="inlineStr">
        <is>
          <t xml:space="preserve">Capturas del menú de los cuatro roles en el informe EV01.</t>
        </is>
      </c>
      <c r="U20" s="21" t="inlineStr">
        <is>
          <t xml:space="preserve">Brayian Jhovany Piedrahita Cortes</t>
        </is>
      </c>
    </row>
    <row r="21" spans="1:21" x14ac:dyDescent="0.3" ht="44.4" customHeight="1">
      <c r="A21" s="18" t="s">
        <v>187</v>
      </c>
      <c r="B21" s="12" t="s">
        <v>73</v>
      </c>
      <c r="C21" s="19" t="s">
        <v>188</v>
      </c>
      <c r="D21" s="13" t="s">
        <v>189</v>
      </c>
      <c r="E21" s="12" t="s">
        <v>190</v>
      </c>
      <c r="F21" s="12" t="s">
        <v>98</v>
      </c>
      <c r="G21" s="13" t="s">
        <v>78</v>
      </c>
      <c r="H21" s="12" t="s">
        <v>191</v>
      </c>
      <c r="I21" s="12" t="s">
        <v>100</v>
      </c>
      <c r="J21" s="12" t="s">
        <v>101</v>
      </c>
      <c r="K21" s="12" t="inlineStr">
        <is>
          <t xml:space="preserve">tests/test_dominio.py, tests/test_lotes.py, tests/test_ga9_limites.py</t>
        </is>
      </c>
      <c r="L21" s="12" t="s">
        <v>8</v>
      </c>
      <c r="M21" s="12" t="s">
        <v>193</v>
      </c>
      <c r="N21" s="12" t="s">
        <v>194</v>
      </c>
      <c r="O21" s="20">
        <v>46321</v>
      </c>
      <c r="P21" s="21" t="inlineStr">
        <is>
          <t xml:space="preserve">Con 799 y con 800 cabezas (capacidad 1000) el nivel es NORMAL y el mensaje no pide acción.</t>
        </is>
      </c>
      <c r="Q21" s="22" t="inlineStr">
        <is>
          <t xml:space="preserve">Aprobado</t>
        </is>
      </c>
      <c r="R21" s="22" t="inlineStr">
        <is>
          <t xml:space="preserve">No aplica</t>
        </is>
      </c>
      <c r="S21" s="22" t="inlineStr">
        <is>
          <t xml:space="preserve">No aplica</t>
        </is>
      </c>
      <c r="T21" s="21" t="inlineStr">
        <is>
          <t xml:space="preserve">docs/pruebas/ejecucion/resultados/pytest_sqlite_20261026_final.log y pytest_mysql_20261026_final.log</t>
        </is>
      </c>
      <c r="U21" s="21" t="inlineStr">
        <is>
          <t xml:space="preserve">Brayian Jhovany Piedrahita Cortes</t>
        </is>
      </c>
    </row>
    <row r="22" spans="1:21" x14ac:dyDescent="0.3" ht="44.4" customHeight="1">
      <c r="A22" s="15" t="s">
        <v>195</v>
      </c>
      <c r="B22" s="23" t="s">
        <v>73</v>
      </c>
      <c r="C22" s="11" t="s">
        <v>196</v>
      </c>
      <c r="D22" s="24" t="s">
        <v>189</v>
      </c>
      <c r="E22" s="23" t="s">
        <v>190</v>
      </c>
      <c r="F22" s="23" t="s">
        <v>98</v>
      </c>
      <c r="G22" s="24" t="s">
        <v>78</v>
      </c>
      <c r="H22" s="23" t="s">
        <v>197</v>
      </c>
      <c r="I22" s="23" t="s">
        <v>100</v>
      </c>
      <c r="J22" s="23" t="s">
        <v>101</v>
      </c>
      <c r="K22" s="23" t="inlineStr">
        <is>
          <t xml:space="preserve">tests/test_dominio.py, tests/test_lotes.py, tests/test_ga9_limites.py</t>
        </is>
      </c>
      <c r="L22" s="23" t="s">
        <v>8</v>
      </c>
      <c r="M22" s="23" t="s">
        <v>198</v>
      </c>
      <c r="N22" s="23" t="s">
        <v>199</v>
      </c>
      <c r="O22" s="20">
        <v>46321</v>
      </c>
      <c r="P22" s="21" t="inlineStr">
        <is>
          <t xml:space="preserve">Con 801 y con 1000 cabezas el nivel es ALERTA con su porcentaje calculado.</t>
        </is>
      </c>
      <c r="Q22" s="22" t="inlineStr">
        <is>
          <t xml:space="preserve">Aprobado</t>
        </is>
      </c>
      <c r="R22" s="22" t="inlineStr">
        <is>
          <t xml:space="preserve">El mensaje preventivo no se comparó literalmente.</t>
        </is>
      </c>
      <c r="S22" s="22" t="inlineStr">
        <is>
          <t xml:space="preserve">No aplica</t>
        </is>
      </c>
      <c r="T22" s="21" t="inlineStr">
        <is>
          <t xml:space="preserve">docs/pruebas/ejecucion/resultados/pytest_sqlite_20261026_final.log y pytest_mysql_20261026_final.log</t>
        </is>
      </c>
      <c r="U22" s="21" t="inlineStr">
        <is>
          <t xml:space="preserve">Brayian Jhovany Piedrahita Cortes</t>
        </is>
      </c>
    </row>
    <row r="23" spans="1:21" x14ac:dyDescent="0.3" ht="57.2" customHeight="1">
      <c r="A23" s="18" t="s">
        <v>200</v>
      </c>
      <c r="B23" s="12" t="s">
        <v>73</v>
      </c>
      <c r="C23" s="19" t="s">
        <v>201</v>
      </c>
      <c r="D23" s="13" t="s">
        <v>189</v>
      </c>
      <c r="E23" s="12" t="s">
        <v>190</v>
      </c>
      <c r="F23" s="12" t="s">
        <v>98</v>
      </c>
      <c r="G23" s="13" t="s">
        <v>78</v>
      </c>
      <c r="H23" s="12" t="s">
        <v>202</v>
      </c>
      <c r="I23" s="12" t="s">
        <v>100</v>
      </c>
      <c r="J23" s="12" t="s">
        <v>101</v>
      </c>
      <c r="K23" s="12" t="inlineStr">
        <is>
          <t xml:space="preserve">tests/test_dominio.py, tests/test_lotes.py, tests/test_ga9_limites.py</t>
        </is>
      </c>
      <c r="L23" s="12" t="s">
        <v>8</v>
      </c>
      <c r="M23" s="12" t="s">
        <v>203</v>
      </c>
      <c r="N23" s="12" t="s">
        <v>204</v>
      </c>
      <c r="O23" s="20">
        <v>46321</v>
      </c>
      <c r="P23" s="21" t="inlineStr">
        <is>
          <t xml:space="preserve">Con 1001 y con 1500 cabezas el nivel es SOBRECARGA; el excedente trae las cabezas sobrantes y las sugerencias traen al menos una acción.</t>
        </is>
      </c>
      <c r="Q23" s="22" t="inlineStr">
        <is>
          <t xml:space="preserve">Aprobado</t>
        </is>
      </c>
      <c r="R23" s="22" t="inlineStr">
        <is>
          <t xml:space="preserve">No aplica</t>
        </is>
      </c>
      <c r="S23" s="22" t="inlineStr">
        <is>
          <t xml:space="preserve">No aplica</t>
        </is>
      </c>
      <c r="T23" s="21" t="inlineStr">
        <is>
          <t xml:space="preserve">docs/pruebas/ejecucion/resultados/pytest_sqlite_20261026_final.log y pytest_mysql_20261026_final.log</t>
        </is>
      </c>
      <c r="U23" s="21" t="inlineStr">
        <is>
          <t xml:space="preserve">Brayian Jhovany Piedrahita Cortes</t>
        </is>
      </c>
    </row>
    <row r="24" spans="1:21" x14ac:dyDescent="0.3" ht="44.4" customHeight="1">
      <c r="A24" s="15" t="s">
        <v>205</v>
      </c>
      <c r="B24" s="23" t="s">
        <v>73</v>
      </c>
      <c r="C24" s="11" t="s">
        <v>206</v>
      </c>
      <c r="D24" s="24" t="s">
        <v>189</v>
      </c>
      <c r="E24" s="23" t="s">
        <v>190</v>
      </c>
      <c r="F24" s="23" t="s">
        <v>207</v>
      </c>
      <c r="G24" s="24" t="s">
        <v>108</v>
      </c>
      <c r="H24" s="23" t="s">
        <v>208</v>
      </c>
      <c r="I24" s="23" t="s">
        <v>100</v>
      </c>
      <c r="J24" s="23" t="s">
        <v>101</v>
      </c>
      <c r="K24" s="23" t="s">
        <v>209</v>
      </c>
      <c r="L24" s="23" t="s">
        <v>8</v>
      </c>
      <c r="M24" s="23" t="s">
        <v>210</v>
      </c>
      <c r="N24" s="23" t="s">
        <v>211</v>
      </c>
      <c r="O24" s="20">
        <v>46321</v>
      </c>
      <c r="P24" s="21" t="inlineStr">
        <is>
          <t xml:space="preserve">La carga del lote suma solo las cabezas de contratos activos; el contrato que pasa a otro estado deja de contar.</t>
        </is>
      </c>
      <c r="Q24" s="22" t="inlineStr">
        <is>
          <t xml:space="preserve">Aprobado</t>
        </is>
      </c>
      <c r="R24" s="22" t="inlineStr">
        <is>
          <t xml:space="preserve">No aplica</t>
        </is>
      </c>
      <c r="S24" s="22" t="inlineStr">
        <is>
          <t xml:space="preserve">No aplica</t>
        </is>
      </c>
      <c r="T24" s="21" t="inlineStr">
        <is>
          <t xml:space="preserve">docs/pruebas/ejecucion/resultados/pytest_sqlite_20261026_final.log y pytest_mysql_20261026_final.log</t>
        </is>
      </c>
      <c r="U24" s="21" t="inlineStr">
        <is>
          <t xml:space="preserve">Brayian Jhovany Piedrahita Cortes</t>
        </is>
      </c>
    </row>
    <row r="25" spans="1:21" x14ac:dyDescent="0.3" ht="95.6" customHeight="1">
      <c r="A25" s="18" t="s">
        <v>212</v>
      </c>
      <c r="B25" s="12" t="s">
        <v>73</v>
      </c>
      <c r="C25" s="19" t="s">
        <v>213</v>
      </c>
      <c r="D25" s="13" t="s">
        <v>189</v>
      </c>
      <c r="E25" s="12" t="s">
        <v>190</v>
      </c>
      <c r="F25" s="12" t="s">
        <v>127</v>
      </c>
      <c r="G25" s="13" t="s">
        <v>108</v>
      </c>
      <c r="H25" s="12" t="s">
        <v>214</v>
      </c>
      <c r="I25" s="12" t="s">
        <v>129</v>
      </c>
      <c r="J25" s="12" t="s">
        <v>130</v>
      </c>
      <c r="K25" s="12" t="s">
        <v>215</v>
      </c>
      <c r="L25" s="12" t="s">
        <v>8</v>
      </c>
      <c r="M25" s="12" t="s">
        <v>216</v>
      </c>
      <c r="N25" s="12" t="s">
        <v>217</v>
      </c>
      <c r="O25" s="20">
        <v>46321</v>
      </c>
      <c r="P25" s="21" t="inlineStr">
        <is>
          <t xml:space="preserve">Cinco lotes: Alto El Mirador en SOBRECARGA (120 %, 24 de 20, tarjeta roja con tres sugerencias); La Esperanza (86,7 %), Las Acacias (96 %) y la Esperanza 1793… (90 %) en ALERTA; Río Frío (0 %) en NORMAL. Cada tarjeta trae carga actual, capacidad, hectáreas, nivel y mensaje.</t>
        </is>
      </c>
      <c r="Q25" s="22" t="inlineStr">
        <is>
          <t xml:space="preserve">Aprobado</t>
        </is>
      </c>
      <c r="R25" s="22" t="inlineStr">
        <is>
          <t xml:space="preserve">No aplica</t>
        </is>
      </c>
      <c r="S25" s="22" t="inlineStr">
        <is>
          <t xml:space="preserve">No aplica</t>
        </is>
      </c>
      <c r="T25" s="21" t="inlineStr">
        <is>
          <t xml:space="preserve">Capturas del monitoreo ambiental del Propietario en el informe EV01.</t>
        </is>
      </c>
      <c r="U25" s="21" t="inlineStr">
        <is>
          <t xml:space="preserve">Brayian Jhovany Piedrahita Cortes</t>
        </is>
      </c>
    </row>
    <row r="26" spans="1:21" x14ac:dyDescent="0.3" ht="57.2" customHeight="1">
      <c r="A26" s="15" t="s">
        <v>218</v>
      </c>
      <c r="B26" s="23" t="s">
        <v>73</v>
      </c>
      <c r="C26" s="11" t="s">
        <v>219</v>
      </c>
      <c r="D26" s="24" t="s">
        <v>189</v>
      </c>
      <c r="E26" s="23" t="s">
        <v>190</v>
      </c>
      <c r="F26" s="23" t="s">
        <v>77</v>
      </c>
      <c r="G26" s="24" t="s">
        <v>108</v>
      </c>
      <c r="H26" s="23" t="s">
        <v>220</v>
      </c>
      <c r="I26" s="23" t="s">
        <v>80</v>
      </c>
      <c r="J26" s="23" t="s">
        <v>92</v>
      </c>
      <c r="K26" s="23" t="s">
        <v>162</v>
      </c>
      <c r="L26" s="23" t="s">
        <v>8</v>
      </c>
      <c r="M26" s="23" t="s">
        <v>221</v>
      </c>
      <c r="N26" s="23" t="s">
        <v>222</v>
      </c>
      <c r="O26" s="20">
        <v>46321</v>
      </c>
      <c r="P26" s="21" t="inlineStr">
        <is>
          <t xml:space="preserve">Crear lote responde 201 con capacidad 20 y nivel NORMAL; la consulta por id responde 200 con el estado de carga del lote; con hectáreas en 0 responde 422 en el campo hectareas.</t>
        </is>
      </c>
      <c r="Q26" s="22" t="inlineStr">
        <is>
          <t xml:space="preserve">Aprobado</t>
        </is>
      </c>
      <c r="R26" s="22" t="inlineStr">
        <is>
          <t xml:space="preserve">La consulta por id comprobó el estado de carga, no cada campo.</t>
        </is>
      </c>
      <c r="S26" s="22" t="inlineStr">
        <is>
          <t xml:space="preserve">No aplica</t>
        </is>
      </c>
      <c r="T26" s="21" t="inlineStr">
        <is>
          <t xml:space="preserve">Captura del resumen del Runner de Postman del 26-oct-2026 (136 verificaciones, 0 fallidas) en el informe EV01.</t>
        </is>
      </c>
      <c r="U26" s="21" t="inlineStr">
        <is>
          <t xml:space="preserve">Brayian Jhovany Piedrahita Cortes</t>
        </is>
      </c>
    </row>
    <row r="27" spans="1:21" x14ac:dyDescent="0.3" ht="44.4" customHeight="1">
      <c r="A27" s="18" t="s">
        <v>223</v>
      </c>
      <c r="B27" s="12" t="s">
        <v>73</v>
      </c>
      <c r="C27" s="19" t="s">
        <v>224</v>
      </c>
      <c r="D27" s="13" t="s">
        <v>189</v>
      </c>
      <c r="E27" s="12" t="s">
        <v>190</v>
      </c>
      <c r="F27" s="12" t="s">
        <v>98</v>
      </c>
      <c r="G27" s="13" t="s">
        <v>108</v>
      </c>
      <c r="H27" s="12" t="s">
        <v>225</v>
      </c>
      <c r="I27" s="12" t="s">
        <v>100</v>
      </c>
      <c r="J27" s="12" t="s">
        <v>101</v>
      </c>
      <c r="K27" s="12" t="inlineStr">
        <is>
          <t xml:space="preserve">tests/test_lotes.py, tests/test_validaciones.py, tests/test_ga9_limites.py</t>
        </is>
      </c>
      <c r="L27" s="12" t="s">
        <v>8</v>
      </c>
      <c r="M27" s="12" t="s">
        <v>227</v>
      </c>
      <c r="N27" s="12" t="s">
        <v>228</v>
      </c>
      <c r="O27" s="20">
        <v>46321</v>
      </c>
      <c r="P27" s="21" t="inlineStr">
        <is>
          <t xml:space="preserve">Hectáreas y capacidad en 0 y en negativo responden 422 con el campo; no se crea el lote.</t>
        </is>
      </c>
      <c r="Q27" s="22" t="inlineStr">
        <is>
          <t xml:space="preserve">Aprobado</t>
        </is>
      </c>
      <c r="R27" s="22" t="inlineStr">
        <is>
          <t xml:space="preserve">No aplica</t>
        </is>
      </c>
      <c r="S27" s="22" t="inlineStr">
        <is>
          <t xml:space="preserve">No aplica</t>
        </is>
      </c>
      <c r="T27" s="21" t="inlineStr">
        <is>
          <t xml:space="preserve">docs/pruebas/ejecucion/resultados/pytest_sqlite_20261026_final.log y pytest_mysql_20261026_final.log</t>
        </is>
      </c>
      <c r="U27" s="21" t="inlineStr">
        <is>
          <t xml:space="preserve">Brayian Jhovany Piedrahita Cortes</t>
        </is>
      </c>
    </row>
    <row r="28" spans="1:21" x14ac:dyDescent="0.3" ht="44.4" customHeight="1">
      <c r="A28" s="15" t="s">
        <v>229</v>
      </c>
      <c r="B28" s="23" t="s">
        <v>73</v>
      </c>
      <c r="C28" s="11" t="s">
        <v>230</v>
      </c>
      <c r="D28" s="24" t="s">
        <v>189</v>
      </c>
      <c r="E28" s="23" t="s">
        <v>190</v>
      </c>
      <c r="F28" s="23" t="s">
        <v>121</v>
      </c>
      <c r="G28" s="24" t="s">
        <v>108</v>
      </c>
      <c r="H28" s="23" t="s">
        <v>231</v>
      </c>
      <c r="I28" s="23" t="s">
        <v>100</v>
      </c>
      <c r="J28" s="23" t="s">
        <v>101</v>
      </c>
      <c r="K28" s="23" t="s">
        <v>232</v>
      </c>
      <c r="L28" s="23" t="s">
        <v>8</v>
      </c>
      <c r="M28" s="23" t="s">
        <v>233</v>
      </c>
      <c r="N28" s="23" t="s">
        <v>234</v>
      </c>
      <c r="O28" s="20">
        <v>46321</v>
      </c>
      <c r="P28" s="21" t="inlineStr">
        <is>
          <t xml:space="preserve">El Arrendatario al crear y el Propietario ajeno al editar reciben 403; el lote no cambia.</t>
        </is>
      </c>
      <c r="Q28" s="22" t="inlineStr">
        <is>
          <t xml:space="preserve">Aprobado</t>
        </is>
      </c>
      <c r="R28" s="22" t="inlineStr">
        <is>
          <t xml:space="preserve">No aplica</t>
        </is>
      </c>
      <c r="S28" s="22" t="inlineStr">
        <is>
          <t xml:space="preserve">No aplica</t>
        </is>
      </c>
      <c r="T28" s="21" t="inlineStr">
        <is>
          <t xml:space="preserve">docs/pruebas/ejecucion/resultados/pytest_sqlite_20261026_final.log y pytest_mysql_20261026_final.log</t>
        </is>
      </c>
      <c r="U28" s="21" t="inlineStr">
        <is>
          <t xml:space="preserve">Brayian Jhovany Piedrahita Cortes</t>
        </is>
      </c>
    </row>
    <row r="29" spans="1:21" x14ac:dyDescent="0.3" ht="57.2" customHeight="1">
      <c r="A29" s="18" t="s">
        <v>235</v>
      </c>
      <c r="B29" s="12" t="s">
        <v>73</v>
      </c>
      <c r="C29" s="19" t="s">
        <v>236</v>
      </c>
      <c r="D29" s="13" t="s">
        <v>237</v>
      </c>
      <c r="E29" s="12" t="s">
        <v>238</v>
      </c>
      <c r="F29" s="12" t="s">
        <v>77</v>
      </c>
      <c r="G29" s="13" t="s">
        <v>108</v>
      </c>
      <c r="H29" s="12" t="s">
        <v>239</v>
      </c>
      <c r="I29" s="12" t="s">
        <v>129</v>
      </c>
      <c r="J29" s="12" t="s">
        <v>130</v>
      </c>
      <c r="K29" s="12" t="s">
        <v>240</v>
      </c>
      <c r="L29" s="12" t="s">
        <v>8</v>
      </c>
      <c r="M29" s="12" t="s">
        <v>241</v>
      </c>
      <c r="N29" s="12" t="s">
        <v>242</v>
      </c>
      <c r="O29" s="20">
        <v>46321</v>
      </c>
      <c r="P29" s="21" t="inlineStr">
        <is>
          <t xml:space="preserve">Contrato 0001: 26 cabezas, tarifa de $85.000, valor mensual $2.210.000, valor total $13.260.000; vigencia del 1 de octubre de 2026 al 1 de abril de 2027 (6 meses).</t>
        </is>
      </c>
      <c r="Q29" s="22" t="inlineStr">
        <is>
          <t xml:space="preserve">Aprobado</t>
        </is>
      </c>
      <c r="R29" s="22" t="inlineStr">
        <is>
          <t xml:space="preserve">No aplica</t>
        </is>
      </c>
      <c r="S29" s="22" t="inlineStr">
        <is>
          <t xml:space="preserve">No aplica</t>
        </is>
      </c>
      <c r="T29" s="21" t="inlineStr">
        <is>
          <t xml:space="preserve">Captura del detalle del contrato 0001 en el informe EV01.</t>
        </is>
      </c>
      <c r="U29" s="21" t="inlineStr">
        <is>
          <t xml:space="preserve">Brayian Jhovany Piedrahita Cortes</t>
        </is>
      </c>
    </row>
    <row r="30" spans="1:21" x14ac:dyDescent="0.3" ht="70.0" customHeight="1">
      <c r="A30" s="15" t="s">
        <v>243</v>
      </c>
      <c r="B30" s="23" t="s">
        <v>73</v>
      </c>
      <c r="C30" s="11" t="s">
        <v>244</v>
      </c>
      <c r="D30" s="24" t="s">
        <v>237</v>
      </c>
      <c r="E30" s="23" t="s">
        <v>238</v>
      </c>
      <c r="F30" s="23" t="s">
        <v>121</v>
      </c>
      <c r="G30" s="24" t="s">
        <v>78</v>
      </c>
      <c r="H30" s="23" t="s">
        <v>245</v>
      </c>
      <c r="I30" s="23" t="s">
        <v>100</v>
      </c>
      <c r="J30" s="23" t="s">
        <v>101</v>
      </c>
      <c r="K30" s="23" t="inlineStr">
        <is>
          <t xml:space="preserve">tests/test_contratos_ganado.py, tests/test_ga9_complemento.py</t>
        </is>
      </c>
      <c r="L30" s="23" t="s">
        <v>8</v>
      </c>
      <c r="M30" s="23" t="s">
        <v>247</v>
      </c>
      <c r="N30" s="23" t="s">
        <v>248</v>
      </c>
      <c r="O30" s="20">
        <v>46321</v>
      </c>
      <c r="P30" s="21" t="inlineStr">
        <is>
          <t xml:space="preserve">Técnico y Contador ven los 5 contratos; el Arrendatario ve solo los suyos (1 y 5); el Propietario ve los de sus lotes (1 y 2); el contrato ajeno responde 403 «El contrato pertenece a otras personas».</t>
        </is>
      </c>
      <c r="Q30" s="22" t="inlineStr">
        <is>
          <t xml:space="preserve">Aprobado</t>
        </is>
      </c>
      <c r="R30" s="22" t="inlineStr">
        <is>
          <t xml:space="preserve">No aplica</t>
        </is>
      </c>
      <c r="S30" s="22" t="inlineStr">
        <is>
          <t xml:space="preserve">No aplica</t>
        </is>
      </c>
      <c r="T30" s="21" t="inlineStr">
        <is>
          <t xml:space="preserve">docs/pruebas/ejecucion/resultados/pytest_sqlite_20261026_final.log y pytest_mysql_20261026_final.log</t>
        </is>
      </c>
      <c r="U30" s="21" t="inlineStr">
        <is>
          <t xml:space="preserve">Brayian Jhovany Piedrahita Cortes</t>
        </is>
      </c>
    </row>
    <row r="31" spans="1:21" x14ac:dyDescent="0.3" ht="82.8" customHeight="1">
      <c r="A31" s="18" t="s">
        <v>249</v>
      </c>
      <c r="B31" s="12" t="s">
        <v>73</v>
      </c>
      <c r="C31" s="19" t="s">
        <v>250</v>
      </c>
      <c r="D31" s="13" t="s">
        <v>237</v>
      </c>
      <c r="E31" s="12" t="s">
        <v>238</v>
      </c>
      <c r="F31" s="12" t="s">
        <v>77</v>
      </c>
      <c r="G31" s="13" t="s">
        <v>108</v>
      </c>
      <c r="H31" s="12" t="s">
        <v>251</v>
      </c>
      <c r="I31" s="12" t="s">
        <v>80</v>
      </c>
      <c r="J31" s="12" t="s">
        <v>92</v>
      </c>
      <c r="K31" s="12" t="s">
        <v>162</v>
      </c>
      <c r="L31" s="12" t="s">
        <v>8</v>
      </c>
      <c r="M31" s="12" t="s">
        <v>252</v>
      </c>
      <c r="N31" s="12" t="s">
        <v>253</v>
      </c>
      <c r="O31" s="20">
        <v>46321</v>
      </c>
      <c r="P31" s="21" t="inlineStr">
        <is>
          <t xml:space="preserve">Crear contrato responde 201, estado Activo y fecha de fin a 6 meses (2027-05-01); el contrato aparece en el listado del Arrendatario.</t>
        </is>
      </c>
      <c r="Q31" s="22" t="inlineStr">
        <is>
          <t xml:space="preserve">Aprobado</t>
        </is>
      </c>
      <c r="R31" s="22" t="inlineStr">
        <is>
          <t xml:space="preserve">El valor mensual no se comprobó aquí; el reporte confirmó ingreso de 18 x 90.000 x 6 meses.</t>
        </is>
      </c>
      <c r="S31" s="22" t="inlineStr">
        <is>
          <t xml:space="preserve">No aplica</t>
        </is>
      </c>
      <c r="T31" s="21" t="inlineStr">
        <is>
          <t xml:space="preserve">Captura del resumen del Runner de Postman del 26-oct-2026 (136 verificaciones, 0 fallidas) en el informe EV01.</t>
        </is>
      </c>
      <c r="U31" s="21" t="inlineStr">
        <is>
          <t xml:space="preserve">Brayian Jhovany Piedrahita Cortes</t>
        </is>
      </c>
    </row>
    <row r="32" spans="1:21" x14ac:dyDescent="0.3" ht="44.4" customHeight="1">
      <c r="A32" s="15" t="s">
        <v>254</v>
      </c>
      <c r="B32" s="23" t="s">
        <v>73</v>
      </c>
      <c r="C32" s="11" t="s">
        <v>255</v>
      </c>
      <c r="D32" s="24" t="s">
        <v>237</v>
      </c>
      <c r="E32" s="23" t="s">
        <v>238</v>
      </c>
      <c r="F32" s="23" t="s">
        <v>98</v>
      </c>
      <c r="G32" s="24" t="s">
        <v>108</v>
      </c>
      <c r="H32" s="23" t="s">
        <v>256</v>
      </c>
      <c r="I32" s="23" t="s">
        <v>100</v>
      </c>
      <c r="J32" s="23" t="s">
        <v>101</v>
      </c>
      <c r="K32" s="23" t="inlineStr">
        <is>
          <t xml:space="preserve">tests/test_contratos_ganado.py, tests/test_validaciones.py, tests/test_ga9_limites.py</t>
        </is>
      </c>
      <c r="L32" s="23" t="s">
        <v>8</v>
      </c>
      <c r="M32" s="23" t="s">
        <v>258</v>
      </c>
      <c r="N32" s="23" t="s">
        <v>259</v>
      </c>
      <c r="O32" s="20">
        <v>46321</v>
      </c>
      <c r="P32" s="21" t="inlineStr">
        <is>
          <t xml:space="preserve">Duraciones de 1 y 60 meses aceptadas; fecha 30 de febrero, 0 y 61 meses y tarifa en 0 responden 422 con el campo.</t>
        </is>
      </c>
      <c r="Q32" s="22" t="inlineStr">
        <is>
          <t xml:space="preserve">Aprobado</t>
        </is>
      </c>
      <c r="R32" s="22" t="inlineStr">
        <is>
          <t xml:space="preserve">No aplica</t>
        </is>
      </c>
      <c r="S32" s="22" t="inlineStr">
        <is>
          <t xml:space="preserve">No aplica</t>
        </is>
      </c>
      <c r="T32" s="21" t="inlineStr">
        <is>
          <t xml:space="preserve">docs/pruebas/ejecucion/resultados/pytest_sqlite_20261026_final.log y pytest_mysql_20261026_final.log</t>
        </is>
      </c>
      <c r="U32" s="21" t="inlineStr">
        <is>
          <t xml:space="preserve">Brayian Jhovany Piedrahita Cortes</t>
        </is>
      </c>
    </row>
    <row r="33" spans="1:21" x14ac:dyDescent="0.3" ht="70.0" customHeight="1">
      <c r="A33" s="18" t="s">
        <v>260</v>
      </c>
      <c r="B33" s="12" t="s">
        <v>73</v>
      </c>
      <c r="C33" s="19" t="s">
        <v>261</v>
      </c>
      <c r="D33" s="13" t="s">
        <v>237</v>
      </c>
      <c r="E33" s="12" t="s">
        <v>238</v>
      </c>
      <c r="F33" s="12" t="s">
        <v>207</v>
      </c>
      <c r="G33" s="13" t="s">
        <v>108</v>
      </c>
      <c r="H33" s="12" t="s">
        <v>262</v>
      </c>
      <c r="I33" s="12" t="s">
        <v>80</v>
      </c>
      <c r="J33" s="12" t="s">
        <v>92</v>
      </c>
      <c r="K33" s="12" t="s">
        <v>162</v>
      </c>
      <c r="L33" s="12" t="s">
        <v>8</v>
      </c>
      <c r="M33" s="12" t="s">
        <v>263</v>
      </c>
      <c r="N33" s="12" t="s">
        <v>264</v>
      </c>
      <c r="O33" s="20">
        <v>46321</v>
      </c>
      <c r="P33" s="21" t="inlineStr">
        <is>
          <t xml:space="preserve">Hato de 10 cabezas: 201 con carga al 50 % y nivel NORMAL; segundo hato de 12: 201 con nivel SOBRECARGA (22 de 20) y excedente de 2; al reducirlo a 8 cabezas, nivel ALERTA al 90 %.</t>
        </is>
      </c>
      <c r="Q33" s="22" t="inlineStr">
        <is>
          <t xml:space="preserve">Aprobado</t>
        </is>
      </c>
      <c r="R33" s="22" t="inlineStr">
        <is>
          <t xml:space="preserve">No aplica</t>
        </is>
      </c>
      <c r="S33" s="22" t="inlineStr">
        <is>
          <t xml:space="preserve">No aplica</t>
        </is>
      </c>
      <c r="T33" s="21" t="inlineStr">
        <is>
          <t xml:space="preserve">Captura del resumen del Runner de Postman del 26-oct-2026 (136 verificaciones, 0 fallidas) en el informe EV01.</t>
        </is>
      </c>
      <c r="U33" s="21" t="inlineStr">
        <is>
          <t xml:space="preserve">Brayian Jhovany Piedrahita Cortes</t>
        </is>
      </c>
    </row>
    <row r="34" spans="1:21" x14ac:dyDescent="0.3" ht="57.2" customHeight="1">
      <c r="A34" s="15" t="s">
        <v>265</v>
      </c>
      <c r="B34" s="23" t="s">
        <v>73</v>
      </c>
      <c r="C34" s="11" t="s">
        <v>266</v>
      </c>
      <c r="D34" s="24" t="s">
        <v>237</v>
      </c>
      <c r="E34" s="23" t="s">
        <v>238</v>
      </c>
      <c r="F34" s="23" t="s">
        <v>77</v>
      </c>
      <c r="G34" s="24" t="s">
        <v>267</v>
      </c>
      <c r="H34" s="23" t="s">
        <v>268</v>
      </c>
      <c r="I34" s="23" t="s">
        <v>100</v>
      </c>
      <c r="J34" s="23" t="s">
        <v>101</v>
      </c>
      <c r="K34" s="23" t="s">
        <v>246</v>
      </c>
      <c r="L34" s="23" t="s">
        <v>8</v>
      </c>
      <c r="M34" s="23" t="s">
        <v>269</v>
      </c>
      <c r="N34" s="23" t="s">
        <v>270</v>
      </c>
      <c r="O34" s="20">
        <v>46321</v>
      </c>
      <c r="P34" s="21" t="inlineStr">
        <is>
          <t xml:space="preserve">Cantidad en 0 y propósito inexistente responden 422; registrar sobre un contrato no activo y eliminar un contrato con ganado responden 409.</t>
        </is>
      </c>
      <c r="Q34" s="22" t="inlineStr">
        <is>
          <t xml:space="preserve">Aprobado</t>
        </is>
      </c>
      <c r="R34" s="22" t="inlineStr">
        <is>
          <t xml:space="preserve">No aplica</t>
        </is>
      </c>
      <c r="S34" s="22" t="inlineStr">
        <is>
          <t xml:space="preserve">No aplica</t>
        </is>
      </c>
      <c r="T34" s="21" t="inlineStr">
        <is>
          <t xml:space="preserve">docs/pruebas/ejecucion/resultados/pytest_sqlite_20261026_final.log y pytest_mysql_20261026_final.log</t>
        </is>
      </c>
      <c r="U34" s="21" t="inlineStr">
        <is>
          <t xml:space="preserve">Brayian Jhovany Piedrahita Cortes</t>
        </is>
      </c>
    </row>
    <row r="35" spans="1:21" x14ac:dyDescent="0.3" ht="70.0" customHeight="1">
      <c r="A35" s="18" t="s">
        <v>271</v>
      </c>
      <c r="B35" s="12" t="s">
        <v>73</v>
      </c>
      <c r="C35" s="19" t="s">
        <v>272</v>
      </c>
      <c r="D35" s="13" t="s">
        <v>237</v>
      </c>
      <c r="E35" s="12" t="s">
        <v>273</v>
      </c>
      <c r="F35" s="12" t="s">
        <v>77</v>
      </c>
      <c r="G35" s="13" t="s">
        <v>108</v>
      </c>
      <c r="H35" s="12" t="s">
        <v>274</v>
      </c>
      <c r="I35" s="12" t="s">
        <v>129</v>
      </c>
      <c r="J35" s="12" t="s">
        <v>130</v>
      </c>
      <c r="K35" s="12" t="s">
        <v>275</v>
      </c>
      <c r="L35" s="12" t="s">
        <v>8</v>
      </c>
      <c r="M35" s="12" t="s">
        <v>276</v>
      </c>
      <c r="N35" s="12" t="s">
        <v>277</v>
      </c>
      <c r="O35" s="20">
        <v>46321</v>
      </c>
      <c r="P35" s="21" t="inlineStr">
        <is>
          <t xml:space="preserve">El documento trae propietario, arrendatario, lote, duración, valor mensual ($2.210.000) y total ($13.260.000) y la huella SHA-256 7b523682…f92c; al recargar la página la huella es idéntica.</t>
        </is>
      </c>
      <c r="Q35" s="22" t="inlineStr">
        <is>
          <t xml:space="preserve">Aprobado</t>
        </is>
      </c>
      <c r="R35" s="22" t="inlineStr">
        <is>
          <t xml:space="preserve">No aplica</t>
        </is>
      </c>
      <c r="S35" s="22" t="inlineStr">
        <is>
          <t xml:space="preserve">No aplica</t>
        </is>
      </c>
      <c r="T35" s="21" t="inlineStr">
        <is>
          <t xml:space="preserve">Dos capturas del documento y de su huella en el informe EV01.</t>
        </is>
      </c>
      <c r="U35" s="21" t="inlineStr">
        <is>
          <t xml:space="preserve">Brayian Jhovany Piedrahita Cortes</t>
        </is>
      </c>
    </row>
    <row r="36" spans="1:21" x14ac:dyDescent="0.3" ht="70.0" customHeight="1">
      <c r="A36" s="15" t="s">
        <v>278</v>
      </c>
      <c r="B36" s="23" t="s">
        <v>73</v>
      </c>
      <c r="C36" s="11" t="s">
        <v>279</v>
      </c>
      <c r="D36" s="24" t="s">
        <v>237</v>
      </c>
      <c r="E36" s="23" t="s">
        <v>273</v>
      </c>
      <c r="F36" s="23" t="s">
        <v>77</v>
      </c>
      <c r="G36" s="24" t="s">
        <v>78</v>
      </c>
      <c r="H36" s="23" t="s">
        <v>280</v>
      </c>
      <c r="I36" s="23" t="s">
        <v>80</v>
      </c>
      <c r="J36" s="23" t="s">
        <v>92</v>
      </c>
      <c r="K36" s="23" t="s">
        <v>162</v>
      </c>
      <c r="L36" s="23" t="s">
        <v>8</v>
      </c>
      <c r="M36" s="23" t="s">
        <v>281</v>
      </c>
      <c r="N36" s="23" t="s">
        <v>282</v>
      </c>
      <c r="O36" s="20">
        <v>46321</v>
      </c>
      <c r="P36" s="21" t="inlineStr">
        <is>
          <t xml:space="preserve">La firma del Arrendatario responde 201 con firma vigente y la huella del documento; la del Propietario responde 201 y firmado_por_ambas_partes verdadero; la firma repetida responde 409 y la de un Técnico 403.</t>
        </is>
      </c>
      <c r="Q36" s="22" t="inlineStr">
        <is>
          <t xml:space="preserve">Aprobado</t>
        </is>
      </c>
      <c r="R36" s="22" t="inlineStr">
        <is>
          <t xml:space="preserve">No se repitió el GET de firmas después de firmar.</t>
        </is>
      </c>
      <c r="S36" s="22" t="inlineStr">
        <is>
          <t xml:space="preserve">No aplica</t>
        </is>
      </c>
      <c r="T36" s="21" t="inlineStr">
        <is>
          <t xml:space="preserve">Captura del resumen del Runner de Postman del 26-oct-2026 (136 verificaciones, 0 fallidas) en el informe EV01.</t>
        </is>
      </c>
      <c r="U36" s="21" t="inlineStr">
        <is>
          <t xml:space="preserve">Brayian Jhovany Piedrahita Cortes</t>
        </is>
      </c>
    </row>
    <row r="37" spans="1:21" x14ac:dyDescent="0.3" ht="44.4" customHeight="1">
      <c r="A37" s="18" t="s">
        <v>283</v>
      </c>
      <c r="B37" s="12" t="s">
        <v>73</v>
      </c>
      <c r="C37" s="19" t="s">
        <v>284</v>
      </c>
      <c r="D37" s="13" t="s">
        <v>237</v>
      </c>
      <c r="E37" s="12" t="s">
        <v>273</v>
      </c>
      <c r="F37" s="12" t="s">
        <v>121</v>
      </c>
      <c r="G37" s="13" t="s">
        <v>108</v>
      </c>
      <c r="H37" s="12" t="s">
        <v>285</v>
      </c>
      <c r="I37" s="12" t="s">
        <v>100</v>
      </c>
      <c r="J37" s="12" t="s">
        <v>101</v>
      </c>
      <c r="K37" s="12" t="s">
        <v>286</v>
      </c>
      <c r="L37" s="12" t="s">
        <v>8</v>
      </c>
      <c r="M37" s="12" t="s">
        <v>287</v>
      </c>
      <c r="N37" s="12" t="s">
        <v>288</v>
      </c>
      <c r="O37" s="20">
        <v>46321</v>
      </c>
      <c r="P37" s="21" t="inlineStr">
        <is>
          <t xml:space="preserve">La segunda firma del mismo usuario responde 409; el Técnico recibe 403.</t>
        </is>
      </c>
      <c r="Q37" s="22" t="inlineStr">
        <is>
          <t xml:space="preserve">Aprobado</t>
        </is>
      </c>
      <c r="R37" s="22" t="inlineStr">
        <is>
          <t xml:space="preserve">No aplica</t>
        </is>
      </c>
      <c r="S37" s="22" t="inlineStr">
        <is>
          <t xml:space="preserve">No aplica</t>
        </is>
      </c>
      <c r="T37" s="21" t="inlineStr">
        <is>
          <t xml:space="preserve">docs/pruebas/ejecucion/resultados/pytest_sqlite_20261026_final.log y pytest_mysql_20261026_final.log</t>
        </is>
      </c>
      <c r="U37" s="21" t="inlineStr">
        <is>
          <t xml:space="preserve">Brayian Jhovany Piedrahita Cortes</t>
        </is>
      </c>
    </row>
    <row r="38" spans="1:21" x14ac:dyDescent="0.3" ht="57.2" customHeight="1">
      <c r="A38" s="15" t="s">
        <v>289</v>
      </c>
      <c r="B38" s="23" t="s">
        <v>73</v>
      </c>
      <c r="C38" s="11" t="s">
        <v>290</v>
      </c>
      <c r="D38" s="24" t="s">
        <v>237</v>
      </c>
      <c r="E38" s="23" t="s">
        <v>273</v>
      </c>
      <c r="F38" s="23" t="s">
        <v>291</v>
      </c>
      <c r="G38" s="24" t="s">
        <v>78</v>
      </c>
      <c r="H38" s="23" t="s">
        <v>292</v>
      </c>
      <c r="I38" s="23" t="s">
        <v>100</v>
      </c>
      <c r="J38" s="23" t="s">
        <v>101</v>
      </c>
      <c r="K38" s="23" t="s">
        <v>286</v>
      </c>
      <c r="L38" s="23" t="s">
        <v>8</v>
      </c>
      <c r="M38" s="23" t="s">
        <v>293</v>
      </c>
      <c r="N38" s="23" t="s">
        <v>294</v>
      </c>
      <c r="O38" s="20">
        <v>46321</v>
      </c>
      <c r="P38" s="21" t="inlineStr">
        <is>
          <t xml:space="preserve">Tras modificar el hato la huella cambia, las firmas anteriores quedan con vigente en falso y firmado_por_ambas_partes deja de ser verdadero.</t>
        </is>
      </c>
      <c r="Q38" s="22" t="inlineStr">
        <is>
          <t xml:space="preserve">Aprobado</t>
        </is>
      </c>
      <c r="R38" s="22" t="inlineStr">
        <is>
          <t xml:space="preserve">La huella nueva no se comparó explícitamente con la anterior.</t>
        </is>
      </c>
      <c r="S38" s="22" t="inlineStr">
        <is>
          <t xml:space="preserve">No aplica</t>
        </is>
      </c>
      <c r="T38" s="21" t="inlineStr">
        <is>
          <t xml:space="preserve">docs/pruebas/ejecucion/resultados/pytest_sqlite_20261026_final.log y pytest_mysql_20261026_final.log</t>
        </is>
      </c>
      <c r="U38" s="21" t="inlineStr">
        <is>
          <t xml:space="preserve">Brayian Jhovany Piedrahita Cortes</t>
        </is>
      </c>
    </row>
    <row r="39" spans="1:21" x14ac:dyDescent="0.3" ht="57.2" customHeight="1">
      <c r="A39" s="18" t="s">
        <v>295</v>
      </c>
      <c r="B39" s="12" t="s">
        <v>73</v>
      </c>
      <c r="C39" s="19" t="s">
        <v>296</v>
      </c>
      <c r="D39" s="13" t="s">
        <v>297</v>
      </c>
      <c r="E39" s="12" t="s">
        <v>298</v>
      </c>
      <c r="F39" s="12" t="s">
        <v>77</v>
      </c>
      <c r="G39" s="13" t="s">
        <v>108</v>
      </c>
      <c r="H39" s="12" t="s">
        <v>299</v>
      </c>
      <c r="I39" s="12" t="s">
        <v>80</v>
      </c>
      <c r="J39" s="12" t="s">
        <v>92</v>
      </c>
      <c r="K39" s="12" t="s">
        <v>162</v>
      </c>
      <c r="L39" s="12" t="s">
        <v>8</v>
      </c>
      <c r="M39" s="12" t="s">
        <v>300</v>
      </c>
      <c r="N39" s="12" t="s">
        <v>301</v>
      </c>
      <c r="O39" s="20">
        <v>46321</v>
      </c>
      <c r="P39" s="21" t="inlineStr">
        <is>
          <t xml:space="preserve">Registrar el pago responde 201 y el pago nace en estado Pendiente; con monto en 0 responde 422.</t>
        </is>
      </c>
      <c r="Q39" s="22" t="inlineStr">
        <is>
          <t xml:space="preserve">Aprobado</t>
        </is>
      </c>
      <c r="R39" s="22" t="inlineStr">
        <is>
          <t xml:space="preserve">No aplica</t>
        </is>
      </c>
      <c r="S39" s="22" t="inlineStr">
        <is>
          <t xml:space="preserve">No aplica</t>
        </is>
      </c>
      <c r="T39" s="21" t="inlineStr">
        <is>
          <t xml:space="preserve">Captura del resumen del Runner de Postman del 26-oct-2026 (136 verificaciones, 0 fallidas) en el informe EV01.</t>
        </is>
      </c>
      <c r="U39" s="21" t="inlineStr">
        <is>
          <t xml:space="preserve">Brayian Jhovany Piedrahita Cortes</t>
        </is>
      </c>
    </row>
    <row r="40" spans="1:21" x14ac:dyDescent="0.3" ht="57.2" customHeight="1">
      <c r="A40" s="15" t="s">
        <v>302</v>
      </c>
      <c r="B40" s="23" t="s">
        <v>73</v>
      </c>
      <c r="C40" s="11" t="s">
        <v>303</v>
      </c>
      <c r="D40" s="24" t="s">
        <v>297</v>
      </c>
      <c r="E40" s="23" t="s">
        <v>298</v>
      </c>
      <c r="F40" s="23" t="s">
        <v>98</v>
      </c>
      <c r="G40" s="24" t="s">
        <v>108</v>
      </c>
      <c r="H40" s="23" t="s">
        <v>304</v>
      </c>
      <c r="I40" s="23" t="s">
        <v>100</v>
      </c>
      <c r="J40" s="23" t="s">
        <v>101</v>
      </c>
      <c r="K40" s="23" t="s">
        <v>305</v>
      </c>
      <c r="L40" s="23" t="s">
        <v>8</v>
      </c>
      <c r="M40" s="23" t="s">
        <v>306</v>
      </c>
      <c r="N40" s="23" t="s">
        <v>307</v>
      </c>
      <c r="O40" s="20">
        <v>46321</v>
      </c>
      <c r="P40" s="21" t="inlineStr">
        <is>
          <t xml:space="preserve">Monto en 0, negativo y muy grande, fecha inexistente o mal escrita y método fuera de la lista responden 422 con el campo.</t>
        </is>
      </c>
      <c r="Q40" s="22" t="inlineStr">
        <is>
          <t xml:space="preserve">Aprobado</t>
        </is>
      </c>
      <c r="R40" s="22" t="inlineStr">
        <is>
          <t xml:space="preserve">No se comprobó explícitamente que los pagos inválidos no se guarden.</t>
        </is>
      </c>
      <c r="S40" s="22" t="inlineStr">
        <is>
          <t xml:space="preserve">No aplica</t>
        </is>
      </c>
      <c r="T40" s="21" t="inlineStr">
        <is>
          <t xml:space="preserve">docs/pruebas/ejecucion/resultados/pytest_sqlite_20261026_final.log y pytest_mysql_20261026_final.log</t>
        </is>
      </c>
      <c r="U40" s="21" t="inlineStr">
        <is>
          <t xml:space="preserve">Brayian Jhovany Piedrahita Cortes</t>
        </is>
      </c>
    </row>
    <row r="41" spans="1:21" x14ac:dyDescent="0.3" ht="70.0" customHeight="1">
      <c r="A41" s="18" t="s">
        <v>308</v>
      </c>
      <c r="B41" s="12" t="s">
        <v>73</v>
      </c>
      <c r="C41" s="19" t="s">
        <v>309</v>
      </c>
      <c r="D41" s="13" t="s">
        <v>297</v>
      </c>
      <c r="E41" s="12" t="s">
        <v>298</v>
      </c>
      <c r="F41" s="12" t="s">
        <v>207</v>
      </c>
      <c r="G41" s="13" t="s">
        <v>78</v>
      </c>
      <c r="H41" s="12" t="s">
        <v>310</v>
      </c>
      <c r="I41" s="12" t="s">
        <v>80</v>
      </c>
      <c r="J41" s="12" t="s">
        <v>92</v>
      </c>
      <c r="K41" s="12" t="s">
        <v>311</v>
      </c>
      <c r="L41" s="12" t="s">
        <v>8</v>
      </c>
      <c r="M41" s="12" t="s">
        <v>312</v>
      </c>
      <c r="N41" s="12" t="s">
        <v>313</v>
      </c>
      <c r="O41" s="20">
        <v>46321</v>
      </c>
      <c r="P41" s="21" t="inlineStr">
        <is>
          <t xml:space="preserve">El pago pasa a Confirmado (200) y el reporte del Propietario muestra recaudado de 1.620.000 y saldo por cobrar de 8.100.000; cambiar un pago ya resuelto responde 409.</t>
        </is>
      </c>
      <c r="Q41" s="22" t="inlineStr">
        <is>
          <t xml:space="preserve">Aprobado</t>
        </is>
      </c>
      <c r="R41" s="22" t="inlineStr">
        <is>
          <t xml:space="preserve">El reporte no se consultó antes de confirmar; el pago Rechazado lo cubre CP-041.</t>
        </is>
      </c>
      <c r="S41" s="22" t="inlineStr">
        <is>
          <t xml:space="preserve">No aplica</t>
        </is>
      </c>
      <c r="T41" s="21" t="inlineStr">
        <is>
          <t xml:space="preserve">Captura del resumen del Runner de Postman del 26-oct-2026 (136 verificaciones, 0 fallidas) en el informe EV01.</t>
        </is>
      </c>
      <c r="U41" s="21" t="inlineStr">
        <is>
          <t xml:space="preserve">Brayian Jhovany Piedrahita Cortes</t>
        </is>
      </c>
    </row>
    <row r="42" spans="1:21" x14ac:dyDescent="0.3" ht="57.2" customHeight="1">
      <c r="A42" s="15" t="s">
        <v>314</v>
      </c>
      <c r="B42" s="23" t="s">
        <v>73</v>
      </c>
      <c r="C42" s="11" t="s">
        <v>315</v>
      </c>
      <c r="D42" s="24" t="s">
        <v>316</v>
      </c>
      <c r="E42" s="23" t="s">
        <v>317</v>
      </c>
      <c r="F42" s="23" t="s">
        <v>77</v>
      </c>
      <c r="G42" s="24" t="s">
        <v>108</v>
      </c>
      <c r="H42" s="23" t="s">
        <v>318</v>
      </c>
      <c r="I42" s="23" t="s">
        <v>80</v>
      </c>
      <c r="J42" s="23" t="s">
        <v>92</v>
      </c>
      <c r="K42" s="23" t="s">
        <v>319</v>
      </c>
      <c r="L42" s="23" t="s">
        <v>8</v>
      </c>
      <c r="M42" s="23" t="s">
        <v>320</v>
      </c>
      <c r="N42" s="23" t="s">
        <v>321</v>
      </c>
      <c r="O42" s="20">
        <v>46321</v>
      </c>
      <c r="P42" s="21" t="inlineStr">
        <is>
          <t xml:space="preserve">El Técnico registra la recomendación (201, con su nombre) y el Arrendatario la ve en el listado (200); con texto corto responde 422 y como Arrendatario 403.</t>
        </is>
      </c>
      <c r="Q42" s="22" t="inlineStr">
        <is>
          <t xml:space="preserve">Aprobado</t>
        </is>
      </c>
      <c r="R42" s="22" t="inlineStr">
        <is>
          <t xml:space="preserve">El listado lo consultó el Arrendatario; el Propietario no.</t>
        </is>
      </c>
      <c r="S42" s="22" t="inlineStr">
        <is>
          <t xml:space="preserve">No aplica</t>
        </is>
      </c>
      <c r="T42" s="21" t="inlineStr">
        <is>
          <t xml:space="preserve">Captura del resumen del Runner de Postman del 26-oct-2026 (136 verificaciones, 0 fallidas) en el informe EV01.</t>
        </is>
      </c>
      <c r="U42" s="21" t="inlineStr">
        <is>
          <t xml:space="preserve">Brayian Jhovany Piedrahita Cortes</t>
        </is>
      </c>
    </row>
    <row r="43" spans="1:21" x14ac:dyDescent="0.3" ht="44.4" customHeight="1">
      <c r="A43" s="18" t="s">
        <v>322</v>
      </c>
      <c r="B43" s="12" t="s">
        <v>73</v>
      </c>
      <c r="C43" s="19" t="s">
        <v>323</v>
      </c>
      <c r="D43" s="13" t="s">
        <v>316</v>
      </c>
      <c r="E43" s="12" t="s">
        <v>317</v>
      </c>
      <c r="F43" s="12" t="s">
        <v>98</v>
      </c>
      <c r="G43" s="13" t="s">
        <v>108</v>
      </c>
      <c r="H43" s="12" t="s">
        <v>324</v>
      </c>
      <c r="I43" s="12" t="s">
        <v>100</v>
      </c>
      <c r="J43" s="12" t="s">
        <v>101</v>
      </c>
      <c r="K43" s="12" t="inlineStr">
        <is>
          <t xml:space="preserve">tests/test_recomendaciones.py, tests/test_validaciones.py, tests/test_ga9_limites.py</t>
        </is>
      </c>
      <c r="L43" s="12" t="s">
        <v>8</v>
      </c>
      <c r="M43" s="12" t="s">
        <v>326</v>
      </c>
      <c r="N43" s="12" t="s">
        <v>327</v>
      </c>
      <c r="O43" s="20">
        <v>46321</v>
      </c>
      <c r="P43" s="21" t="inlineStr">
        <is>
          <t xml:space="preserve">Textos de 10 y 500 caracteres aceptados; 9, 501 y el texto con etiqueta HTML rechazados con 422.</t>
        </is>
      </c>
      <c r="Q43" s="22" t="inlineStr">
        <is>
          <t xml:space="preserve">Aprobado</t>
        </is>
      </c>
      <c r="R43" s="22" t="inlineStr">
        <is>
          <t xml:space="preserve">No aplica</t>
        </is>
      </c>
      <c r="S43" s="22" t="inlineStr">
        <is>
          <t xml:space="preserve">No aplica</t>
        </is>
      </c>
      <c r="T43" s="21" t="inlineStr">
        <is>
          <t xml:space="preserve">docs/pruebas/ejecucion/resultados/pytest_sqlite_20261026_final.log y pytest_mysql_20261026_final.log</t>
        </is>
      </c>
      <c r="U43" s="21" t="inlineStr">
        <is>
          <t xml:space="preserve">Brayian Jhovany Piedrahita Cortes</t>
        </is>
      </c>
    </row>
    <row r="44" spans="1:21" x14ac:dyDescent="0.3" ht="44.4" customHeight="1">
      <c r="A44" s="15" t="s">
        <v>328</v>
      </c>
      <c r="B44" s="23" t="s">
        <v>73</v>
      </c>
      <c r="C44" s="11" t="s">
        <v>329</v>
      </c>
      <c r="D44" s="24" t="s">
        <v>316</v>
      </c>
      <c r="E44" s="23" t="s">
        <v>317</v>
      </c>
      <c r="F44" s="23" t="s">
        <v>121</v>
      </c>
      <c r="G44" s="24" t="s">
        <v>108</v>
      </c>
      <c r="H44" s="23" t="s">
        <v>330</v>
      </c>
      <c r="I44" s="23" t="s">
        <v>100</v>
      </c>
      <c r="J44" s="23" t="s">
        <v>101</v>
      </c>
      <c r="K44" s="23" t="s">
        <v>319</v>
      </c>
      <c r="L44" s="23" t="s">
        <v>8</v>
      </c>
      <c r="M44" s="23" t="s">
        <v>331</v>
      </c>
      <c r="N44" s="23" t="s">
        <v>332</v>
      </c>
      <c r="O44" s="20">
        <v>46321</v>
      </c>
      <c r="P44" s="21" t="inlineStr">
        <is>
          <t xml:space="preserve">El Arrendatario recibe 403 al crear; solo el Técnico autor puede eliminar su recomendación.</t>
        </is>
      </c>
      <c r="Q44" s="22" t="inlineStr">
        <is>
          <t xml:space="preserve">Aprobado</t>
        </is>
      </c>
      <c r="R44" s="22" t="inlineStr">
        <is>
          <t xml:space="preserve">No aplica</t>
        </is>
      </c>
      <c r="S44" s="22" t="inlineStr">
        <is>
          <t xml:space="preserve">No aplica</t>
        </is>
      </c>
      <c r="T44" s="21" t="inlineStr">
        <is>
          <t xml:space="preserve">docs/pruebas/ejecucion/resultados/pytest_sqlite_20261026_final.log y pytest_mysql_20261026_final.log</t>
        </is>
      </c>
      <c r="U44" s="21" t="inlineStr">
        <is>
          <t xml:space="preserve">Brayian Jhovany Piedrahita Cortes</t>
        </is>
      </c>
    </row>
    <row r="45" spans="1:21" x14ac:dyDescent="0.3" ht="57.2" customHeight="1">
      <c r="A45" s="18" t="s">
        <v>333</v>
      </c>
      <c r="B45" s="12" t="s">
        <v>73</v>
      </c>
      <c r="C45" s="19" t="s">
        <v>334</v>
      </c>
      <c r="D45" s="13" t="s">
        <v>297</v>
      </c>
      <c r="E45" s="12" t="s">
        <v>335</v>
      </c>
      <c r="F45" s="12" t="s">
        <v>77</v>
      </c>
      <c r="G45" s="13" t="s">
        <v>108</v>
      </c>
      <c r="H45" s="12" t="s">
        <v>336</v>
      </c>
      <c r="I45" s="12" t="s">
        <v>100</v>
      </c>
      <c r="J45" s="12" t="s">
        <v>101</v>
      </c>
      <c r="K45" s="12" t="s">
        <v>337</v>
      </c>
      <c r="L45" s="12" t="s">
        <v>8</v>
      </c>
      <c r="M45" s="12" t="s">
        <v>338</v>
      </c>
      <c r="N45" s="12" t="s">
        <v>339</v>
      </c>
      <c r="O45" s="20">
        <v>46321</v>
      </c>
      <c r="P45" s="21" t="inlineStr">
        <is>
          <t xml:space="preserve">Costo estimado igual al ingreso entre 1,20; utilidad igual a ingreso menos costo; recaudado igual a la suma de pagos Confirmados; saldo igual a ingreso menos recaudado.</t>
        </is>
      </c>
      <c r="Q45" s="22" t="inlineStr">
        <is>
          <t xml:space="preserve">Aprobado</t>
        </is>
      </c>
      <c r="R45" s="22" t="inlineStr">
        <is>
          <t xml:space="preserve">No aplica</t>
        </is>
      </c>
      <c r="S45" s="22" t="inlineStr">
        <is>
          <t xml:space="preserve">No aplica</t>
        </is>
      </c>
      <c r="T45" s="21" t="inlineStr">
        <is>
          <t xml:space="preserve">docs/pruebas/ejecucion/resultados/pytest_sqlite_20261026_final.log y pytest_mysql_20261026_final.log</t>
        </is>
      </c>
      <c r="U45" s="21" t="inlineStr">
        <is>
          <t xml:space="preserve">Brayian Jhovany Piedrahita Cortes</t>
        </is>
      </c>
    </row>
    <row r="46" spans="1:21" x14ac:dyDescent="0.3" ht="70.0" customHeight="1">
      <c r="A46" s="15" t="s">
        <v>340</v>
      </c>
      <c r="B46" s="23" t="s">
        <v>73</v>
      </c>
      <c r="C46" s="11" t="s">
        <v>341</v>
      </c>
      <c r="D46" s="24" t="s">
        <v>342</v>
      </c>
      <c r="E46" s="23" t="s">
        <v>335</v>
      </c>
      <c r="F46" s="23" t="s">
        <v>77</v>
      </c>
      <c r="G46" s="24" t="s">
        <v>108</v>
      </c>
      <c r="H46" s="23" t="s">
        <v>343</v>
      </c>
      <c r="I46" s="23" t="s">
        <v>129</v>
      </c>
      <c r="J46" s="23" t="s">
        <v>130</v>
      </c>
      <c r="K46" s="23" t="s">
        <v>344</v>
      </c>
      <c r="L46" s="23" t="s">
        <v>8</v>
      </c>
      <c r="M46" s="23" t="s">
        <v>345</v>
      </c>
      <c r="N46" s="23" t="s">
        <v>346</v>
      </c>
      <c r="O46" s="20">
        <v>46321</v>
      </c>
      <c r="P46" s="21" t="inlineStr">
        <is>
          <t xml:space="preserve">Se descarga reporte_rentabilidad_20261026 en Excel con la tabla de seis contratos y totales con fórmula SUMA (por ejemplo =SUMA(I5:I10)); los valores coinciden con la pantalla (ingreso total $59.090.000).</t>
        </is>
      </c>
      <c r="Q46" s="22" t="inlineStr">
        <is>
          <t xml:space="preserve">Aprobado</t>
        </is>
      </c>
      <c r="R46" s="22" t="inlineStr">
        <is>
          <t xml:space="preserve">No aplica</t>
        </is>
      </c>
      <c r="S46" s="22" t="inlineStr">
        <is>
          <t xml:space="preserve">No aplica</t>
        </is>
      </c>
      <c r="T46" s="21" t="inlineStr">
        <is>
          <t xml:space="preserve">Capturas del reporte en pantalla y del Excel abierto en el informe EV01.</t>
        </is>
      </c>
      <c r="U46" s="21" t="inlineStr">
        <is>
          <t xml:space="preserve">Brayian Jhovany Piedrahita Cortes</t>
        </is>
      </c>
    </row>
    <row r="47" spans="1:21" x14ac:dyDescent="0.3" ht="57.2" customHeight="1">
      <c r="A47" s="18" t="s">
        <v>347</v>
      </c>
      <c r="B47" s="12" t="s">
        <v>73</v>
      </c>
      <c r="C47" s="19" t="s">
        <v>348</v>
      </c>
      <c r="D47" s="13" t="s">
        <v>342</v>
      </c>
      <c r="E47" s="12" t="s">
        <v>335</v>
      </c>
      <c r="F47" s="12" t="s">
        <v>77</v>
      </c>
      <c r="G47" s="13" t="s">
        <v>108</v>
      </c>
      <c r="H47" s="12" t="s">
        <v>349</v>
      </c>
      <c r="I47" s="12" t="s">
        <v>129</v>
      </c>
      <c r="J47" s="12" t="s">
        <v>130</v>
      </c>
      <c r="K47" s="12" t="s">
        <v>344</v>
      </c>
      <c r="L47" s="12" t="s">
        <v>8</v>
      </c>
      <c r="M47" s="12" t="s">
        <v>345</v>
      </c>
      <c r="N47" s="12" t="s">
        <v>350</v>
      </c>
      <c r="O47" s="20">
        <v>46321</v>
      </c>
      <c r="P47" s="21" t="inlineStr">
        <is>
          <t xml:space="preserve">Se descarga reporte_rentabilidad_20261026 en PDF de una página, con la misma tabla y los mismos totales de la pantalla y la fecha de generación 26/10/2026.</t>
        </is>
      </c>
      <c r="Q47" s="22" t="inlineStr">
        <is>
          <t xml:space="preserve">Aprobado</t>
        </is>
      </c>
      <c r="R47" s="22" t="inlineStr">
        <is>
          <t xml:space="preserve">El tamaño de la hoja no se midió en la captura; se ve apaisada.</t>
        </is>
      </c>
      <c r="S47" s="22" t="inlineStr">
        <is>
          <t xml:space="preserve">No aplica</t>
        </is>
      </c>
      <c r="T47" s="21" t="inlineStr">
        <is>
          <t xml:space="preserve">Captura del PDF abierto en el informe EV01.</t>
        </is>
      </c>
      <c r="U47" s="21" t="inlineStr">
        <is>
          <t xml:space="preserve">Brayian Jhovany Piedrahita Cortes</t>
        </is>
      </c>
    </row>
    <row r="48" spans="1:21" x14ac:dyDescent="0.3" ht="57.2" customHeight="1">
      <c r="A48" s="15" t="s">
        <v>351</v>
      </c>
      <c r="B48" s="23" t="s">
        <v>73</v>
      </c>
      <c r="C48" s="11" t="s">
        <v>352</v>
      </c>
      <c r="D48" s="24" t="s">
        <v>353</v>
      </c>
      <c r="E48" s="23" t="s">
        <v>354</v>
      </c>
      <c r="F48" s="23" t="s">
        <v>77</v>
      </c>
      <c r="G48" s="24" t="s">
        <v>267</v>
      </c>
      <c r="H48" s="23" t="s">
        <v>355</v>
      </c>
      <c r="I48" s="23" t="s">
        <v>80</v>
      </c>
      <c r="J48" s="23" t="s">
        <v>81</v>
      </c>
      <c r="K48" s="23" t="s">
        <v>82</v>
      </c>
      <c r="L48" s="23" t="s">
        <v>8</v>
      </c>
      <c r="M48" s="23" t="s">
        <v>356</v>
      </c>
      <c r="N48" s="23" t="s">
        <v>357</v>
      </c>
      <c r="O48" s="20">
        <v>46321</v>
      </c>
      <c r="P48" s="21" t="inlineStr">
        <is>
          <t xml:space="preserve">GET /api/salud responde 200 en las 50 repeticiones, 0 errores; tiempo medio de 3 ms y máximo de 47 ms.</t>
        </is>
      </c>
      <c r="Q48" s="22" t="inlineStr">
        <is>
          <t xml:space="preserve">Aprobado</t>
        </is>
      </c>
      <c r="R48" s="22" t="inlineStr">
        <is>
          <t xml:space="preserve">El cuerpo {"estado":"ok"} se comprobó con curl el 26-oct.</t>
        </is>
      </c>
      <c r="S48" s="22" t="inlineStr">
        <is>
          <t xml:space="preserve">No aplica</t>
        </is>
      </c>
      <c r="T48" s="21" t="inlineStr">
        <is>
          <t xml:space="preserve">ejecucion/jmeter_20261026.jtl y captura del resumen de la terminal (250 muestras, 0 errores) en el informe EV01.</t>
        </is>
      </c>
      <c r="U48" s="21" t="inlineStr">
        <is>
          <t xml:space="preserve">Brayian Jhovany Piedrahita Cortes</t>
        </is>
      </c>
    </row>
    <row r="49" spans="1:21" x14ac:dyDescent="0.3" ht="82.8" customHeight="1">
      <c r="A49" s="18" t="s">
        <v>358</v>
      </c>
      <c r="B49" s="12" t="s">
        <v>73</v>
      </c>
      <c r="C49" s="19" t="s">
        <v>359</v>
      </c>
      <c r="D49" s="13" t="s">
        <v>360</v>
      </c>
      <c r="E49" s="12" t="s">
        <v>354</v>
      </c>
      <c r="F49" s="12" t="s">
        <v>77</v>
      </c>
      <c r="G49" s="13" t="s">
        <v>108</v>
      </c>
      <c r="H49" s="12" t="s">
        <v>361</v>
      </c>
      <c r="I49" s="12" t="s">
        <v>129</v>
      </c>
      <c r="J49" s="12" t="s">
        <v>130</v>
      </c>
      <c r="K49" s="12" t="s">
        <v>362</v>
      </c>
      <c r="L49" s="12" t="s">
        <v>8</v>
      </c>
      <c r="M49" s="12" t="s">
        <v>363</v>
      </c>
      <c r="N49" s="12" t="s">
        <v>364</v>
      </c>
      <c r="O49" s="20">
        <v>46321</v>
      </c>
      <c r="P49" s="21" t="inlineStr">
        <is>
          <t xml:space="preserve">Con la red apagada aparece el aviso rojo «Sin conexión a internet. Se muestran los datos guardados en este dispositivo.»; Reportes y Contratos muestran las listas guardadas con su nota y los botones DESCARGAR PDF y DESCARGAR EXCEL quedan desactivados.</t>
        </is>
      </c>
      <c r="Q49" s="22" t="inlineStr">
        <is>
          <t xml:space="preserve">Aprobado</t>
        </is>
      </c>
      <c r="R49" s="22" t="inlineStr">
        <is>
          <t xml:space="preserve">No aplica</t>
        </is>
      </c>
      <c r="S49" s="22" t="inlineStr">
        <is>
          <t xml:space="preserve">No aplica</t>
        </is>
      </c>
      <c r="T49" s="21" t="inlineStr">
        <is>
          <t xml:space="preserve">Dos capturas sin conexión (Reportes y Contratos) en el informe EV01.</t>
        </is>
      </c>
      <c r="U49" s="21" t="inlineStr">
        <is>
          <t xml:space="preserve">Brayian Jhovany Piedrahita Cortes</t>
        </is>
      </c>
    </row>
    <row r="50" spans="1:21" x14ac:dyDescent="0.3" ht="57.2" customHeight="1">
      <c r="A50" s="15" t="s">
        <v>365</v>
      </c>
      <c r="B50" s="23" t="s">
        <v>73</v>
      </c>
      <c r="C50" s="11" t="s">
        <v>366</v>
      </c>
      <c r="D50" s="24" t="s">
        <v>360</v>
      </c>
      <c r="E50" s="23" t="s">
        <v>354</v>
      </c>
      <c r="F50" s="23" t="s">
        <v>77</v>
      </c>
      <c r="G50" s="24" t="s">
        <v>108</v>
      </c>
      <c r="H50" s="23" t="s">
        <v>367</v>
      </c>
      <c r="I50" s="23" t="s">
        <v>129</v>
      </c>
      <c r="J50" s="23" t="s">
        <v>130</v>
      </c>
      <c r="K50" s="23" t="s">
        <v>368</v>
      </c>
      <c r="L50" s="23" t="s">
        <v>8</v>
      </c>
      <c r="M50" s="23" t="s">
        <v>369</v>
      </c>
      <c r="N50" s="23" t="s">
        <v>370</v>
      </c>
      <c r="O50" s="20">
        <v>46321</v>
      </c>
      <c r="P50" s="21" t="inlineStr">
        <is>
          <t xml:space="preserve">Al volver la red el aviso rojo desaparece, las consultas de contratos y rentabilidad responden 200, el reporte se actualiza y los botones de descarga quedan activos.</t>
        </is>
      </c>
      <c r="Q50" s="22" t="inlineStr">
        <is>
          <t xml:space="preserve">Aprobado</t>
        </is>
      </c>
      <c r="R50" s="22" t="inlineStr">
        <is>
          <t xml:space="preserve">No aplica</t>
        </is>
      </c>
      <c r="S50" s="22" t="inlineStr">
        <is>
          <t xml:space="preserve">No aplica</t>
        </is>
      </c>
      <c r="T50" s="21" t="inlineStr">
        <is>
          <t xml:space="preserve">Captura de Reportes con la red recuperada y el registro de red en el informe EV01.</t>
        </is>
      </c>
      <c r="U50" s="21" t="inlineStr">
        <is>
          <t xml:space="preserve">Brayian Jhovany Piedrahita Cortes</t>
        </is>
      </c>
    </row>
    <row r="51" spans="1:21" x14ac:dyDescent="0.3" ht="70.0" customHeight="1">
      <c r="A51" s="18" t="s">
        <v>371</v>
      </c>
      <c r="B51" s="12" t="s">
        <v>73</v>
      </c>
      <c r="C51" s="19" t="s">
        <v>372</v>
      </c>
      <c r="D51" s="13" t="s">
        <v>353</v>
      </c>
      <c r="E51" s="12" t="s">
        <v>354</v>
      </c>
      <c r="F51" s="12" t="s">
        <v>291</v>
      </c>
      <c r="G51" s="13" t="s">
        <v>108</v>
      </c>
      <c r="H51" s="12" t="s">
        <v>373</v>
      </c>
      <c r="I51" s="12" t="s">
        <v>374</v>
      </c>
      <c r="J51" s="12" t="s">
        <v>101</v>
      </c>
      <c r="K51" s="12" t="s">
        <v>375</v>
      </c>
      <c r="L51" s="12" t="s">
        <v>8</v>
      </c>
      <c r="M51" s="12" t="s">
        <v>376</v>
      </c>
      <c r="N51" s="12" t="s">
        <v>377</v>
      </c>
      <c r="O51" s="20">
        <v>46321</v>
      </c>
      <c r="P51" s="21" t="inlineStr">
        <is>
          <t xml:space="preserve">297 pruebas aprobadas con MySQL 8.4 (160,55 s); 296 aprobadas y 1 omitida con SQLite (14,15 s). Las 16 pruebas de test_adaptador_bd.py pasan en ambos motores.</t>
        </is>
      </c>
      <c r="Q51" s="22" t="inlineStr">
        <is>
          <t xml:space="preserve">Aprobado</t>
        </is>
      </c>
      <c r="R51" s="22" t="inlineStr">
        <is>
          <t xml:space="preserve">Las cifras superan las 248 y 247 previstas por las 49 pruebas complementarias.</t>
        </is>
      </c>
      <c r="S51" s="22" t="inlineStr">
        <is>
          <t xml:space="preserve">No aplica</t>
        </is>
      </c>
      <c r="T51" s="21" t="inlineStr">
        <is>
          <t xml:space="preserve">docs/pruebas/ejecucion/resultados/pytest_sqlite_20261026_final.log y pytest_mysql_20261026_final.log</t>
        </is>
      </c>
      <c r="U51" s="21" t="inlineStr">
        <is>
          <t xml:space="preserve">Brayian Jhovany Piedrahita Cortes</t>
        </is>
      </c>
    </row>
    <row r="52" spans="1:21" x14ac:dyDescent="0.3" ht="57.2" customHeight="1">
      <c r="A52" s="15" t="s">
        <v>378</v>
      </c>
      <c r="B52" s="23" t="s">
        <v>73</v>
      </c>
      <c r="C52" s="11" t="s">
        <v>379</v>
      </c>
      <c r="D52" s="24" t="s">
        <v>353</v>
      </c>
      <c r="E52" s="23" t="s">
        <v>354</v>
      </c>
      <c r="F52" s="23" t="s">
        <v>380</v>
      </c>
      <c r="G52" s="24" t="s">
        <v>108</v>
      </c>
      <c r="H52" s="23" t="s">
        <v>381</v>
      </c>
      <c r="I52" s="23" t="s">
        <v>80</v>
      </c>
      <c r="J52" s="23" t="s">
        <v>81</v>
      </c>
      <c r="K52" s="23" t="s">
        <v>82</v>
      </c>
      <c r="L52" s="23" t="s">
        <v>8</v>
      </c>
      <c r="M52" s="23" t="s">
        <v>382</v>
      </c>
      <c r="N52" s="23" t="s">
        <v>383</v>
      </c>
      <c r="O52" s="20">
        <v>46321</v>
      </c>
      <c r="P52" s="21" t="inlineStr">
        <is>
          <t xml:space="preserve">250 muestras, 0 % de errores; tiempo medio de 47 ms y máximo de 232 ms; 18,6 peticiones por segundo en 13 s.</t>
        </is>
      </c>
      <c r="Q52" s="22" t="inlineStr">
        <is>
          <t xml:space="preserve">Aprobado</t>
        </is>
      </c>
      <c r="R52" s="22" t="inlineStr">
        <is>
          <t xml:space="preserve">No aplica</t>
        </is>
      </c>
      <c r="S52" s="22" t="inlineStr">
        <is>
          <t xml:space="preserve">No aplica</t>
        </is>
      </c>
      <c r="T52" s="21" t="inlineStr">
        <is>
          <t xml:space="preserve">ejecucion/jmeter_20261026.jtl y captura del resumen de la terminal (250 muestras, 0 errores) en el informe EV01.</t>
        </is>
      </c>
      <c r="U52" s="21" t="inlineStr">
        <is>
          <t xml:space="preserve">Brayian Jhovany Piedrahita Cortes</t>
        </is>
      </c>
    </row>
    <row r="53" spans="1:21" x14ac:dyDescent="0.3" ht="70.0" customHeight="1">
      <c r="A53" s="18" t="s">
        <v>384</v>
      </c>
      <c r="B53" s="12" t="s">
        <v>73</v>
      </c>
      <c r="C53" s="19" t="s">
        <v>385</v>
      </c>
      <c r="D53" s="13" t="s">
        <v>353</v>
      </c>
      <c r="E53" s="12" t="s">
        <v>354</v>
      </c>
      <c r="F53" s="12" t="s">
        <v>127</v>
      </c>
      <c r="G53" s="13" t="s">
        <v>267</v>
      </c>
      <c r="H53" s="12" t="s">
        <v>386</v>
      </c>
      <c r="I53" s="12" t="s">
        <v>387</v>
      </c>
      <c r="J53" s="12" t="s">
        <v>130</v>
      </c>
      <c r="K53" s="12" t="s">
        <v>131</v>
      </c>
      <c r="L53" s="12" t="s">
        <v>8</v>
      </c>
      <c r="M53" s="12" t="s">
        <v>388</v>
      </c>
      <c r="N53" s="12" t="s">
        <v>389</v>
      </c>
      <c r="O53" s="20">
        <v>46321</v>
      </c>
      <c r="P53" s="21" t="inlineStr">
        <is>
          <t xml:space="preserve">Con la emulación de 393 × 852 no hay desplazamiento horizontal; el formulario, el desglose y el botón se ven completos y el error «Debe ser mayor o igual a 1» aparece junto al campo sin cortarse.</t>
        </is>
      </c>
      <c r="Q53" s="22" t="inlineStr">
        <is>
          <t xml:space="preserve">Aprobado</t>
        </is>
      </c>
      <c r="R53" s="22" t="inlineStr">
        <is>
          <t xml:space="preserve">No aplica</t>
        </is>
      </c>
      <c r="S53" s="22" t="inlineStr">
        <is>
          <t xml:space="preserve">No aplica</t>
        </is>
      </c>
      <c r="T53" s="21" t="inlineStr">
        <is>
          <t xml:space="preserve">Dos capturas de la emulación móvil en el informe EV01.</t>
        </is>
      </c>
      <c r="U53" s="21" t="inlineStr">
        <is>
          <t xml:space="preserve">Brayian Jhovany Piedrahita Cortes</t>
        </is>
      </c>
    </row>
    <row r="54" spans="1:21" x14ac:dyDescent="0.3" ht="70.0" customHeight="1">
      <c r="A54" s="15" t="s">
        <v>390</v>
      </c>
      <c r="B54" s="23" t="s">
        <v>73</v>
      </c>
      <c r="C54" s="11" t="s">
        <v>391</v>
      </c>
      <c r="D54" s="24" t="s">
        <v>353</v>
      </c>
      <c r="E54" s="23" t="s">
        <v>354</v>
      </c>
      <c r="F54" s="23" t="s">
        <v>77</v>
      </c>
      <c r="G54" s="24" t="s">
        <v>267</v>
      </c>
      <c r="H54" s="23" t="s">
        <v>392</v>
      </c>
      <c r="I54" s="23" t="s">
        <v>393</v>
      </c>
      <c r="J54" s="23" t="s">
        <v>130</v>
      </c>
      <c r="K54" s="23" t="s">
        <v>131</v>
      </c>
      <c r="L54" s="23" t="s">
        <v>8</v>
      </c>
      <c r="M54" s="23" t="s">
        <v>394</v>
      </c>
      <c r="N54" s="23" t="s">
        <v>395</v>
      </c>
      <c r="O54" s="20">
        <v>46321</v>
      </c>
      <c r="P54" s="21" t="inlineStr">
        <is>
          <t xml:space="preserve">GET /api/salud en Render responde {"estado":"ok"}; el inicio de sesión de Carlos (Propietario) abre el panel con tres lotes en alerta o sobrecarga. No se crearon ni cambiaron datos.</t>
        </is>
      </c>
      <c r="Q54" s="22" t="inlineStr">
        <is>
          <t xml:space="preserve">Aprobado</t>
        </is>
      </c>
      <c r="R54" s="22" t="inlineStr">
        <is>
          <t xml:space="preserve">No aplica</t>
        </is>
      </c>
      <c r="S54" s="22" t="inlineStr">
        <is>
          <t xml:space="preserve">No aplica</t>
        </is>
      </c>
      <c r="T54" s="21" t="inlineStr">
        <is>
          <t xml:space="preserve">Capturas de la respuesta de salud y del panel en Render en el informe EV01.</t>
        </is>
      </c>
      <c r="U54" s="21" t="inlineStr">
        <is>
          <t xml:space="preserve">Brayian Jhovany Piedrahita Cortes</t>
        </is>
      </c>
    </row>
    <row r="55" spans="1:21" x14ac:dyDescent="0.3" ht="57.2" customHeight="1">
      <c r="A55" s="18" t="s">
        <v>396</v>
      </c>
      <c r="B55" s="12" t="s">
        <v>73</v>
      </c>
      <c r="C55" s="19" t="s">
        <v>397</v>
      </c>
      <c r="D55" s="13" t="s">
        <v>353</v>
      </c>
      <c r="E55" s="12" t="s">
        <v>354</v>
      </c>
      <c r="F55" s="12" t="s">
        <v>98</v>
      </c>
      <c r="G55" s="13" t="s">
        <v>267</v>
      </c>
      <c r="H55" s="12" t="s">
        <v>398</v>
      </c>
      <c r="I55" s="12" t="s">
        <v>399</v>
      </c>
      <c r="J55" s="12" t="s">
        <v>400</v>
      </c>
      <c r="K55" s="12" t="s">
        <v>401</v>
      </c>
      <c r="L55" s="12" t="s">
        <v>8</v>
      </c>
      <c r="M55" s="12" t="s">
        <v>402</v>
      </c>
      <c r="N55" s="12" t="s">
        <v>403</v>
      </c>
      <c r="O55" s="20">
        <v>46321</v>
      </c>
      <c r="P55" s="21" t="inlineStr">
        <is>
          <t xml:space="preserve">validaciones.test.js: 17 pruebas aprobadas; fecha, monto y texto también en modulosUtilidades.test.js (12 aprobadas). Repetido en la corrida final de 161 pruebas.</t>
        </is>
      </c>
      <c r="Q55" s="22" t="inlineStr">
        <is>
          <t xml:space="preserve">Aprobado</t>
        </is>
      </c>
      <c r="R55" s="22" t="inlineStr">
        <is>
          <t xml:space="preserve">No aplica</t>
        </is>
      </c>
      <c r="S55" s="22" t="inlineStr">
        <is>
          <t xml:space="preserve">No aplica</t>
        </is>
      </c>
      <c r="T55" s="21" t="inlineStr">
        <is>
          <t xml:space="preserve">docs/pruebas/ejecucion/resultados/vitest_20261026_correccion.log (corrida final) y docs/pruebas/ejecucion/resultados/vitest_20261026.log</t>
        </is>
      </c>
      <c r="U55" s="21" t="inlineStr">
        <is>
          <t xml:space="preserve">Brayian Jhovany Piedrahita Cortes</t>
        </is>
      </c>
    </row>
    <row r="56" spans="1:21" x14ac:dyDescent="0.3" ht="57.2" customHeight="1">
      <c r="A56" s="15" t="s">
        <v>404</v>
      </c>
      <c r="B56" s="23" t="s">
        <v>73</v>
      </c>
      <c r="C56" s="11" t="s">
        <v>405</v>
      </c>
      <c r="D56" s="24" t="s">
        <v>353</v>
      </c>
      <c r="E56" s="23" t="s">
        <v>354</v>
      </c>
      <c r="F56" s="23" t="s">
        <v>291</v>
      </c>
      <c r="G56" s="24" t="s">
        <v>108</v>
      </c>
      <c r="H56" s="23" t="s">
        <v>406</v>
      </c>
      <c r="I56" s="23" t="s">
        <v>399</v>
      </c>
      <c r="J56" s="23" t="s">
        <v>400</v>
      </c>
      <c r="K56" s="23" t="s">
        <v>407</v>
      </c>
      <c r="L56" s="23" t="s">
        <v>8</v>
      </c>
      <c r="M56" s="23" t="s">
        <v>408</v>
      </c>
      <c r="N56" s="23" t="s">
        <v>409</v>
      </c>
      <c r="O56" s="20">
        <v>46321</v>
      </c>
      <c r="P56" s="21" t="inlineStr">
        <is>
          <t xml:space="preserve">Corrida inicial: 13 archivos y 159 pruebas aprobadas en 42,40 s. Tras corregir DEF-001: 13 archivos y 161 pruebas aprobadas en 34,95 s (dos pruebas nuevas de regresión).</t>
        </is>
      </c>
      <c r="Q56" s="22" t="inlineStr">
        <is>
          <t xml:space="preserve">Aprobado</t>
        </is>
      </c>
      <c r="R56" s="22" t="inlineStr">
        <is>
          <t xml:space="preserve">No aplica</t>
        </is>
      </c>
      <c r="S56" s="22" t="inlineStr">
        <is>
          <t xml:space="preserve">No aplica</t>
        </is>
      </c>
      <c r="T56" s="21" t="inlineStr">
        <is>
          <t xml:space="preserve">docs/pruebas/ejecucion/resultados/vitest_20261026_correccion.log (corrida final) y docs/pruebas/ejecucion/resultados/vitest_20261026.log</t>
        </is>
      </c>
      <c r="U56" s="21" t="inlineStr">
        <is>
          <t xml:space="preserve">Brayian Jhovany Piedrahita Cortes</t>
        </is>
      </c>
    </row>
    <row r="57" spans="1:21" x14ac:dyDescent="0.3" ht="82.8" customHeight="1">
      <c r="A57" s="18" t="s">
        <v>410</v>
      </c>
      <c r="B57" s="12" t="s">
        <v>73</v>
      </c>
      <c r="C57" s="19" t="s">
        <v>411</v>
      </c>
      <c r="D57" s="13" t="s">
        <v>360</v>
      </c>
      <c r="E57" s="12" t="s">
        <v>354</v>
      </c>
      <c r="F57" s="12" t="s">
        <v>98</v>
      </c>
      <c r="G57" s="13" t="s">
        <v>108</v>
      </c>
      <c r="H57" s="12" t="s">
        <v>412</v>
      </c>
      <c r="I57" s="12" t="s">
        <v>399</v>
      </c>
      <c r="J57" s="12" t="s">
        <v>400</v>
      </c>
      <c r="K57" s="12" t="s">
        <v>413</v>
      </c>
      <c r="L57" s="12" t="s">
        <v>8</v>
      </c>
      <c r="M57" s="12" t="s">
        <v>414</v>
      </c>
      <c r="N57" s="12" t="s">
        <v>415</v>
      </c>
      <c r="O57" s="20">
        <v>46321</v>
      </c>
      <c r="P57" s="21" t="inlineStr">
        <is>
          <t xml:space="preserve">almacenLocal.test.js (4) y hooks.test.jsx (10) aprobadas; las listas de lotes, contratos y el último reporte se guardan y recuperan por usuario (useConsulta.test.jsx y modulosPaginas.test.jsx); el aviso de conexión se activa y se apaga.</t>
        </is>
      </c>
      <c r="Q57" s="22" t="inlineStr">
        <is>
          <t xml:space="preserve">Aprobado</t>
        </is>
      </c>
      <c r="R57" s="22" t="inlineStr">
        <is>
          <t xml:space="preserve">No aplica</t>
        </is>
      </c>
      <c r="S57" s="22" t="inlineStr">
        <is>
          <t xml:space="preserve">No aplica</t>
        </is>
      </c>
      <c r="T57" s="21" t="inlineStr">
        <is>
          <t xml:space="preserve">docs/pruebas/ejecucion/resultados/vitest_20261026_correccion.log (corrida final) y docs/pruebas/ejecucion/resultados/vitest_20261026.log</t>
        </is>
      </c>
      <c r="U57" s="21" t="inlineStr">
        <is>
          <t xml:space="preserve">Brayian Jhovany Piedrahita Cortes</t>
        </is>
      </c>
    </row>
    <row r="58" spans="1:21" x14ac:dyDescent="0.3" ht="95.6" customHeight="1">
      <c r="A58" s="15" t="s">
        <v>416</v>
      </c>
      <c r="B58" s="23" t="s">
        <v>73</v>
      </c>
      <c r="C58" s="11" t="s">
        <v>417</v>
      </c>
      <c r="D58" s="24" t="s">
        <v>360</v>
      </c>
      <c r="E58" s="23" t="s">
        <v>418</v>
      </c>
      <c r="F58" s="23" t="s">
        <v>77</v>
      </c>
      <c r="G58" s="24" t="s">
        <v>267</v>
      </c>
      <c r="H58" s="23" t="s">
        <v>419</v>
      </c>
      <c r="I58" s="23" t="s">
        <v>420</v>
      </c>
      <c r="J58" s="23" t="s">
        <v>421</v>
      </c>
      <c r="K58" s="23" t="s">
        <v>131</v>
      </c>
      <c r="L58" s="23" t="s">
        <v>8</v>
      </c>
      <c r="M58" s="23" t="s">
        <v>422</v>
      </c>
      <c r="N58" s="23" t="s">
        <v>423</v>
      </c>
      <c r="O58" s="20">
        <v>46321</v>
      </c>
      <c r="P58" s="21" t="inlineStr">
        <is>
          <t xml:space="preserve">Con el modo avión activado la app calcula en el teléfono: $288.000 por cabeza, total del lote $14.400.000, base $240.000, factor ×1,00 y margen $48.000, con desglose por rubro y la franja roja «Sin conexión: el cálculo se hizo en el teléfono con las mismas reglas y no quedó en el historial».</t>
        </is>
      </c>
      <c r="Q58" s="22" t="inlineStr">
        <is>
          <t xml:space="preserve">Aprobado</t>
        </is>
      </c>
      <c r="R58" s="22" t="inlineStr">
        <is>
          <t xml:space="preserve">No aplica</t>
        </is>
      </c>
      <c r="S58" s="22" t="inlineStr">
        <is>
          <t xml:space="preserve">No aplica</t>
        </is>
      </c>
      <c r="T58" s="21" t="inlineStr">
        <is>
          <t xml:space="preserve">Captura de la app en el teléfono en el informe EV01.</t>
        </is>
      </c>
      <c r="U58" s="21" t="inlineStr">
        <is>
          <t xml:space="preserve">Brayian Jhovany Piedrahita Cortes</t>
        </is>
      </c>
    </row>
    <row r="59" spans="1:21" x14ac:dyDescent="0.3" ht="82.8" customHeight="1">
      <c r="A59" s="18" t="s">
        <v>424</v>
      </c>
      <c r="B59" s="12" t="s">
        <v>73</v>
      </c>
      <c r="C59" s="19" t="s">
        <v>425</v>
      </c>
      <c r="D59" s="13" t="s">
        <v>353</v>
      </c>
      <c r="E59" s="12" t="s">
        <v>418</v>
      </c>
      <c r="F59" s="12" t="s">
        <v>291</v>
      </c>
      <c r="G59" s="13" t="s">
        <v>267</v>
      </c>
      <c r="H59" s="12" t="s">
        <v>426</v>
      </c>
      <c r="I59" s="12" t="s">
        <v>420</v>
      </c>
      <c r="J59" s="12" t="s">
        <v>427</v>
      </c>
      <c r="K59" s="12" t="s">
        <v>428</v>
      </c>
      <c r="L59" s="12" t="s">
        <v>8</v>
      </c>
      <c r="M59" s="12" t="s">
        <v>429</v>
      </c>
      <c r="N59" s="12" t="s">
        <v>430</v>
      </c>
      <c r="O59" s="20">
        <v>46321</v>
      </c>
      <c r="P59" s="21" t="inlineStr">
        <is>
          <t xml:space="preserve">89 pruebas en 11 clases: 0 omitidas, 0 fallos y 0 errores; BUILD SUCCESSFUL en 17 s.</t>
        </is>
      </c>
      <c r="Q59" s="22" t="inlineStr">
        <is>
          <t xml:space="preserve">Aprobado</t>
        </is>
      </c>
      <c r="R59" s="22" t="inlineStr">
        <is>
          <t xml:space="preserve">Se ejecutó con Gradle desde la terminal (tarea testDebugUnitTest) y no desde Android Studio.</t>
        </is>
      </c>
      <c r="S59" s="22" t="inlineStr">
        <is>
          <t xml:space="preserve">No aplica</t>
        </is>
      </c>
      <c r="T59" s="21" t="inlineStr">
        <is>
          <t xml:space="preserve">Captura de la terminal con BUILD SUCCESSFUL y el total de 89 pruebas en el informe EV01; resultados en app/build/test-results/testDebugUnitTest.</t>
        </is>
      </c>
      <c r="U59" s="21" t="inlineStr">
        <is>
          <t xml:space="preserve">Brayian Jhovany Piedrahita Cortes</t>
        </is>
      </c>
    </row>
    <row r="60" spans="1:21" ht="52.8" x14ac:dyDescent="0.3">
      <c r="A60" s="15" t="s">
        <v>431</v>
      </c>
      <c r="B60" s="23" t="s">
        <v>73</v>
      </c>
      <c r="C60" s="11" t="s">
        <v>432</v>
      </c>
      <c r="D60" s="24" t="s">
        <v>433</v>
      </c>
      <c r="E60" s="23" t="s">
        <v>434</v>
      </c>
      <c r="F60" s="23" t="s">
        <v>98</v>
      </c>
      <c r="G60" s="24" t="s">
        <v>267</v>
      </c>
      <c r="H60" s="23" t="s">
        <v>435</v>
      </c>
      <c r="I60" s="23" t="s">
        <v>100</v>
      </c>
      <c r="J60" s="23" t="s">
        <v>101</v>
      </c>
      <c r="K60" s="23" t="s">
        <v>436</v>
      </c>
      <c r="L60" s="23" t="s">
        <v>8</v>
      </c>
      <c r="M60" s="23" t="s">
        <v>437</v>
      </c>
      <c r="N60" s="23" t="s">
        <v>438</v>
      </c>
      <c r="O60" s="20"/>
      <c r="P60" s="21"/>
      <c r="Q60" s="22"/>
      <c r="R60" s="22"/>
      <c r="S60" s="22"/>
      <c r="T60" s="21"/>
      <c r="U60" s="21"/>
    </row>
    <row r="61" spans="1:21" ht="39.6" x14ac:dyDescent="0.3">
      <c r="A61" s="18" t="s">
        <v>439</v>
      </c>
      <c r="B61" s="12" t="s">
        <v>73</v>
      </c>
      <c r="C61" s="19" t="s">
        <v>440</v>
      </c>
      <c r="D61" s="13" t="s">
        <v>441</v>
      </c>
      <c r="E61" s="12" t="s">
        <v>442</v>
      </c>
      <c r="F61" s="12" t="s">
        <v>207</v>
      </c>
      <c r="G61" s="13" t="s">
        <v>267</v>
      </c>
      <c r="H61" s="12" t="s">
        <v>443</v>
      </c>
      <c r="I61" s="12" t="s">
        <v>129</v>
      </c>
      <c r="J61" s="12" t="s">
        <v>130</v>
      </c>
      <c r="K61" s="12" t="s">
        <v>436</v>
      </c>
      <c r="L61" s="12" t="s">
        <v>8</v>
      </c>
      <c r="M61" s="12" t="s">
        <v>444</v>
      </c>
      <c r="N61" s="12" t="s">
        <v>445</v>
      </c>
      <c r="O61" s="20"/>
      <c r="P61" s="21"/>
      <c r="Q61" s="22"/>
      <c r="R61" s="22"/>
      <c r="S61" s="22"/>
      <c r="T61" s="21"/>
      <c r="U61" s="21"/>
    </row>
    <row r="62" spans="1:21" ht="52.8" x14ac:dyDescent="0.3">
      <c r="A62" s="15" t="s">
        <v>446</v>
      </c>
      <c r="B62" s="23" t="s">
        <v>73</v>
      </c>
      <c r="C62" s="11" t="s">
        <v>447</v>
      </c>
      <c r="D62" s="24" t="s">
        <v>360</v>
      </c>
      <c r="E62" s="23" t="s">
        <v>354</v>
      </c>
      <c r="F62" s="23" t="s">
        <v>207</v>
      </c>
      <c r="G62" s="24" t="s">
        <v>267</v>
      </c>
      <c r="H62" s="23" t="s">
        <v>448</v>
      </c>
      <c r="I62" s="23" t="s">
        <v>129</v>
      </c>
      <c r="J62" s="23" t="s">
        <v>130</v>
      </c>
      <c r="K62" s="23" t="s">
        <v>436</v>
      </c>
      <c r="L62" s="23" t="s">
        <v>8</v>
      </c>
      <c r="M62" s="23" t="s">
        <v>449</v>
      </c>
      <c r="N62" s="23" t="s">
        <v>450</v>
      </c>
      <c r="O62" s="20"/>
      <c r="P62" s="21"/>
      <c r="Q62" s="22"/>
      <c r="R62" s="22"/>
      <c r="S62" s="22"/>
      <c r="T62" s="21"/>
      <c r="U62" s="21"/>
    </row>
    <row r="63" spans="1:21" ht="52.8" x14ac:dyDescent="0.3">
      <c r="A63" s="18" t="s">
        <v>451</v>
      </c>
      <c r="B63" s="12" t="s">
        <v>73</v>
      </c>
      <c r="C63" s="19" t="s">
        <v>452</v>
      </c>
      <c r="D63" s="13" t="s">
        <v>453</v>
      </c>
      <c r="E63" s="12" t="s">
        <v>454</v>
      </c>
      <c r="F63" s="12" t="s">
        <v>77</v>
      </c>
      <c r="G63" s="13" t="s">
        <v>267</v>
      </c>
      <c r="H63" s="12" t="s">
        <v>455</v>
      </c>
      <c r="I63" s="12" t="s">
        <v>374</v>
      </c>
      <c r="J63" s="12" t="s">
        <v>456</v>
      </c>
      <c r="K63" s="12" t="s">
        <v>436</v>
      </c>
      <c r="L63" s="12" t="s">
        <v>8</v>
      </c>
      <c r="M63" s="12" t="s">
        <v>457</v>
      </c>
      <c r="N63" s="12" t="s">
        <v>458</v>
      </c>
      <c r="O63" s="20"/>
      <c r="P63" s="21"/>
      <c r="Q63" s="22"/>
      <c r="R63" s="22"/>
      <c r="S63" s="22"/>
      <c r="T63" s="21"/>
      <c r="U63" s="21"/>
    </row>
  </sheetData>
  <autoFilter ref="A4:U63" xr:uid="{00000000-0009-0000-0000-000001000000}"/>
  <mergeCells count="4">
    <mergeCell ref="A1:L1"/>
    <mergeCell ref="A2:L2"/>
    <mergeCell ref="A3:N3"/>
    <mergeCell ref="O3:U3"/>
  </mergeCells>
  <conditionalFormatting sqref="Q5:Q200">
    <cfRule type="cellIs" dxfId="6" priority="2" operator="equal">
      <formula>"Aprobado"</formula>
    </cfRule>
    <cfRule type="cellIs" dxfId="5" priority="3" operator="equal">
      <formula>"En seguimiento"</formula>
    </cfRule>
    <cfRule type="cellIs" dxfId="4" priority="4" operator="equal">
      <formula>"Rechazado"</formula>
    </cfRule>
  </conditionalFormatting>
  <conditionalFormatting sqref="S5:S200">
    <cfRule type="cellIs" dxfId="3" priority="5" operator="equal">
      <formula>"Alta"</formula>
    </cfRule>
  </conditionalFormatting>
  <dataValidations count="1">
    <dataValidation type="date" operator="greaterThan" allowBlank="1" showErrorMessage="1" errorTitle="Fecha no válida" error="Escriba una fecha real, por ejemplo 28/10/2026." sqref="O5:O200" xr:uid="{00000000-0002-0000-0100-000007000000}">
      <formula1>36526</formula1>
      <formula2>0</formula2>
    </dataValidation>
  </dataValidations>
  <pageMargins left="0.4" right="0.4" top="0.5" bottom="0.5" header="0.511811023622047" footer="0.5"/>
  <pageSetup paperSize="5" fitToHeight="0" orientation="landscape" horizontalDpi="300" verticalDpi="300"/>
  <headerFooter>
    <oddFooter>&amp;C&amp;8 Pastoreando · GA9-220501096-AA3-EV01 · 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Valor no válido" error="Elija un valor de la lista." xr:uid="{00000000-0002-0000-0100-000000000000}">
          <x14:formula1>
            <xm:f>Listas!$A$2:$A$4</xm:f>
          </x14:formula1>
          <x14:formula2>
            <xm:f>0</xm:f>
          </x14:formula2>
          <xm:sqref>Q5:Q200</xm:sqref>
        </x14:dataValidation>
        <x14:dataValidation type="list" allowBlank="1" showErrorMessage="1" errorTitle="Valor no válido" error="Elija un valor de la lista." xr:uid="{00000000-0002-0000-0100-000001000000}">
          <x14:formula1>
            <xm:f>Listas!$B$2:$B$5</xm:f>
          </x14:formula1>
          <x14:formula2>
            <xm:f>0</xm:f>
          </x14:formula2>
          <xm:sqref>S5:S200</xm:sqref>
        </x14:dataValidation>
        <x14:dataValidation type="list" allowBlank="1" showErrorMessage="1" errorTitle="Valor no válido" error="Elija un valor de la lista." xr:uid="{00000000-0002-0000-0100-000002000000}">
          <x14:formula1>
            <xm:f>Listas!$C$2:$C$4</xm:f>
          </x14:formula1>
          <x14:formula2>
            <xm:f>0</xm:f>
          </x14:formula2>
          <xm:sqref>G5:G200</xm:sqref>
        </x14:dataValidation>
        <x14:dataValidation type="list" allowBlank="1" showErrorMessage="1" errorTitle="Valor no válido" error="Elija un valor de la lista." xr:uid="{00000000-0002-0000-0100-000003000000}">
          <x14:formula1>
            <xm:f>Listas!$D$2:$D$8</xm:f>
          </x14:formula1>
          <x14:formula2>
            <xm:f>0</xm:f>
          </x14:formula2>
          <xm:sqref>F5:F200</xm:sqref>
        </x14:dataValidation>
        <x14:dataValidation type="list" allowBlank="1" showErrorMessage="1" errorTitle="Valor no válido" error="Elija un valor de la lista." xr:uid="{00000000-0002-0000-0100-000004000000}">
          <x14:formula1>
            <xm:f>Listas!$E$2:$E$9</xm:f>
          </x14:formula1>
          <x14:formula2>
            <xm:f>0</xm:f>
          </x14:formula2>
          <xm:sqref>J5:J200</xm:sqref>
        </x14:dataValidation>
        <x14:dataValidation type="list" allowBlank="1" showErrorMessage="1" errorTitle="Valor no válido" error="Elija un valor de la lista." xr:uid="{00000000-0002-0000-0100-000005000000}">
          <x14:formula1>
            <xm:f>Listas!$F$2:$F$9</xm:f>
          </x14:formula1>
          <x14:formula2>
            <xm:f>0</xm:f>
          </x14:formula2>
          <xm:sqref>I5:I200</xm:sqref>
        </x14:dataValidation>
        <x14:dataValidation type="list" allowBlank="1" showErrorMessage="1" errorTitle="Valor no válido" error="Elija un valor de la lista." xr:uid="{00000000-0002-0000-0100-000006000000}">
          <x14:formula1>
            <xm:f>Listas!$G$2:$G$14</xm:f>
          </x14:formula1>
          <x14:formula2>
            <xm:f>0</xm:f>
          </x14:formula2>
          <xm:sqref>D5:D200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24"/>
  <sheetViews>
    <sheetView topLeftCell="A13" zoomScaleNormal="100" workbookViewId="0">
      <selection sqref="A1:B1"/>
    </sheetView>
  </sheetViews>
  <sheetFormatPr baseColWidth="10"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5" t="s">
        <v>459</v>
      </c>
      <c r="B1" s="5"/>
    </row>
    <row r="2" spans="1:2" ht="27.75" customHeight="1" x14ac:dyDescent="0.3">
      <c r="A2" s="4" t="s">
        <v>460</v>
      </c>
      <c r="B2" s="4"/>
    </row>
    <row r="3" spans="1:2" ht="24" customHeight="1" x14ac:dyDescent="0.3">
      <c r="A3" s="25" t="s">
        <v>461</v>
      </c>
      <c r="B3" s="26" t="inlineStr">
        <is>
          <t xml:space="preserve">CP-007</t>
        </is>
      </c>
    </row>
    <row r="4" spans="1:2" x14ac:dyDescent="0.3">
      <c r="A4" s="11" t="s">
        <v>53</v>
      </c>
      <c r="B4" s="12" t="str">
        <f>IFERROR(IF(INDEX('Casos de prueba'!$B$5:$B$200,MATCH($B$3,'Casos de prueba'!$A$5:$A$200,0))="","",INDEX('Casos de prueba'!$B$5:$B$200,MATCH($B$3,'Casos de prueba'!$A$5:$A$200,0))),"")</f>
        <v>Pastoreando</v>
      </c>
    </row>
    <row r="5" spans="1:2" x14ac:dyDescent="0.3">
      <c r="A5" s="11" t="s">
        <v>54</v>
      </c>
      <c r="B5" s="12" t="str">
        <f>IFERROR(IF(INDEX('Casos de prueba'!$C$5:$C$200,MATCH($B$3,'Casos de prueba'!$A$5:$A$200,0))="","",INDEX('Casos de prueba'!$C$5:$C$200,MATCH($B$3,'Casos de prueba'!$A$5:$A$200,0))),"")</f>
        <v>Desglose interactivo y formulario de costos en pantalla</v>
      </c>
    </row>
    <row r="6" spans="1:2" x14ac:dyDescent="0.3">
      <c r="A6" s="11" t="s">
        <v>462</v>
      </c>
      <c r="B6" s="12" t="str">
        <f>IFERROR(IF(INDEX('Casos de prueba'!$D$5:$D$200,MATCH($B$3,'Casos de prueba'!$A$5:$A$200,0))="","",INDEX('Casos de prueba'!$D$5:$D$200,MATCH($B$3,'Casos de prueba'!$A$5:$A$200,0))),"")</f>
        <v>RF02</v>
      </c>
    </row>
    <row r="7" spans="1:2" x14ac:dyDescent="0.3">
      <c r="A7" s="11" t="s">
        <v>56</v>
      </c>
      <c r="B7" s="12" t="str">
        <f>IFERROR(IF(INDEX('Casos de prueba'!$E$5:$E$200,MATCH($B$3,'Casos de prueba'!$A$5:$A$200,0))="","",INDEX('Casos de prueba'!$E$5:$E$200,MATCH($B$3,'Casos de prueba'!$A$5:$A$200,0))),"")</f>
        <v>Costos por unidad ganadera</v>
      </c>
    </row>
    <row r="8" spans="1:2" x14ac:dyDescent="0.3">
      <c r="A8" s="11" t="s">
        <v>463</v>
      </c>
      <c r="B8" s="12" t="str">
        <f>IFERROR(IF(INDEX('Casos de prueba'!$F$5:$F$200,MATCH($B$3,'Casos de prueba'!$A$5:$A$200,0))="","",INDEX('Casos de prueba'!$F$5:$F$200,MATCH($B$3,'Casos de prueba'!$A$5:$A$200,0))),"")&amp;IF(IFERROR(IF(INDEX('Casos de prueba'!$G$5:$G$200,MATCH($B$3,'Casos de prueba'!$A$5:$A$200,0))="","",INDEX('Casos de prueba'!$G$5:$G$200,MATCH($B$3,'Casos de prueba'!$A$5:$A$200,0))),"")="","","  ·  Prioridad "&amp;IFERROR(IF(INDEX('Casos de prueba'!$G$5:$G$200,MATCH($B$3,'Casos de prueba'!$A$5:$A$200,0))="","",INDEX('Casos de prueba'!$G$5:$G$200,MATCH($B$3,'Casos de prueba'!$A$5:$A$200,0))),""))</f>
        <v>Usabilidad  ·  Prioridad Alta</v>
      </c>
    </row>
    <row r="9" spans="1:2" ht="52.8" x14ac:dyDescent="0.3">
      <c r="A9" s="11" t="s">
        <v>59</v>
      </c>
      <c r="B9" s="12" t="str">
        <f>IFERROR(IF(INDEX('Casos de prueba'!$H$5:$H$200,MATCH($B$3,'Casos de prueba'!$A$5:$A$200,0))="","",INDEX('Casos de prueba'!$H$5:$H$200,MATCH($B$3,'Casos de prueba'!$A$5:$A$200,0))),"")</f>
        <v>Prueba funcional y de usabilidad en el navegador: se diligencia el formulario, se calcula y se revisa el desglose por rubro (valor, porcentaje y vista por unidad ganadera o lote completo); luego se deja un dato inválido y se comprueba que no queda a la vista un resultado anterior.</v>
      </c>
    </row>
    <row r="10" spans="1:2" ht="26.4" x14ac:dyDescent="0.3">
      <c r="A10" s="11" t="s">
        <v>60</v>
      </c>
      <c r="B10" s="12" t="str">
        <f>IFERROR(IF(INDEX('Casos de prueba'!$I$5:$I$200,MATCH($B$3,'Casos de prueba'!$A$5:$A$200,0))="","",INDEX('Casos de prueba'!$I$5:$I$200,MATCH($B$3,'Casos de prueba'!$A$5:$A$200,0))),"")</f>
        <v>E1 · Web: Edge en Windows, interfaz Vite (localhost:5173) y API local con SQLite de pruebas</v>
      </c>
    </row>
    <row r="11" spans="1:2" x14ac:dyDescent="0.3">
      <c r="A11" s="11" t="s">
        <v>61</v>
      </c>
      <c r="B11" s="12" t="str">
        <f>IFERROR(IF(INDEX('Casos de prueba'!$J$5:$J$200,MATCH($B$3,'Casos de prueba'!$A$5:$A$200,0))="","",INDEX('Casos de prueba'!$J$5:$J$200,MATCH($B$3,'Casos de prueba'!$A$5:$A$200,0))),"")</f>
        <v>Manual (Edge)</v>
      </c>
    </row>
    <row r="12" spans="1:2" x14ac:dyDescent="0.3">
      <c r="A12" s="11" t="s">
        <v>62</v>
      </c>
      <c r="B12" s="12" t="str">
        <f>IFERROR(IF(INDEX('Casos de prueba'!$K$5:$K$200,MATCH($B$3,'Casos de prueba'!$A$5:$A$200,0))="","",INDEX('Casos de prueba'!$K$5:$K$200,MATCH($B$3,'Casos de prueba'!$A$5:$A$200,0))),"")</f>
        <v>Manual (Edge) y, para la regresión de DEF-001, frontend-react/src/pruebas/componentes.test.jsx y navegacion.test.jsx</v>
      </c>
    </row>
    <row r="13" spans="1:2" x14ac:dyDescent="0.3">
      <c r="A13" s="11" t="s">
        <v>63</v>
      </c>
      <c r="B13" s="12" t="str">
        <f>IFERROR(IF(INDEX('Casos de prueba'!$L$5:$L$200,MATCH($B$3,'Casos de prueba'!$A$5:$A$200,0))="","",INDEX('Casos de prueba'!$L$5:$L$200,MATCH($B$3,'Casos de prueba'!$A$5:$A$200,0))),"")</f>
        <v>Brayian Jhovany Piedrahita Cortes</v>
      </c>
    </row>
    <row r="14" spans="1:2" ht="39.6" x14ac:dyDescent="0.3">
      <c r="A14" s="11" t="s">
        <v>64</v>
      </c>
      <c r="B14" s="12" t="str">
        <f>IFERROR(IF(INDEX('Casos de prueba'!$M$5:$M$200,MATCH($B$3,'Casos de prueba'!$A$5:$A$200,0))="","",INDEX('Casos de prueba'!$M$5:$M$200,MATCH($B$3,'Casos de prueba'!$A$5:$A$200,0))),"")</f>
        <v>Sesión de Contador en la pestaña de cálculo; datos del caso 001.</v>
      </c>
    </row>
    <row r="15" spans="1:2" ht="52.8" x14ac:dyDescent="0.3">
      <c r="A15" s="11" t="s">
        <v>65</v>
      </c>
      <c r="B15" s="12" t="str">
        <f>IFERROR(IF(INDEX('Casos de prueba'!$N$5:$N$200,MATCH($B$3,'Casos de prueba'!$A$5:$A$200,0))="","",INDEX('Casos de prueba'!$N$5:$N$200,MATCH($B$3,'Casos de prueba'!$A$5:$A$200,0))),"")</f>
        <v>El resultado muestra costo por cabeza y total del lote; el desglose muestra el valor de cada rubro y su porcentaje; los errores aparecen junto al campo y, mientras los datos no sean válidos, el resultado anterior no queda en pantalla.</v>
      </c>
    </row>
    <row r="16" spans="1:2" x14ac:dyDescent="0.3">
      <c r="A16" s="11" t="s">
        <v>66</v>
      </c>
      <c r="B16" s="21" t="str">
        <f>IFERROR(IF(INDEX('Casos de prueba'!$O$5:$O$200,MATCH($B$3,'Casos de prueba'!$A$5:$A$200,0))="","",TEXT(INDEX('Casos de prueba'!$O$5:$O$200,MATCH($B$3,'Casos de prueba'!$A$5:$A$200,0)),"dd/mm/yyyy")),"")</f>
        <v>26/10/2026</v>
      </c>
    </row>
    <row r="17" spans="1:2" ht="52.8" x14ac:dyDescent="0.3">
      <c r="A17" s="11" t="s">
        <v>67</v>
      </c>
      <c r="B17" s="21" t="str">
        <f>IFERROR(IF(INDEX('Casos de prueba'!$P$5:$P$200,MATCH($B$3,'Casos de prueba'!$A$5:$A$200,0))="","",INDEX('Casos de prueba'!$P$5:$P$200,MATCH($B$3,'Casos de prueba'!$A$5:$A$200,0))),"")</f>
        <v>Primera ejecución: con los datos del caso 001 el resultado es $288.000 por cabeza y $14.400.000 del lote, con valor y porcentaje por rubro y vista por unidad ganadera o lote completo; con 0 animales aparecía «Debe ser mayor o igual a 1» pero el resultado anterior seguía en pantalla (DEF-001). Repetición con la corrección (commit 3f13120): calcula con 50 animales y, al dejar 0, aparece «Debe ser mayor o igual a 1», el resultado desaparece y el panel vuelve a «Ingrese los valores y presione calcular».</v>
      </c>
    </row>
    <row r="18" spans="1:2" x14ac:dyDescent="0.3">
      <c r="A18" s="11" t="s">
        <v>68</v>
      </c>
      <c r="B18" s="21" t="str">
        <f>IFERROR(IF(INDEX('Casos de prueba'!$Q$5:$Q$200,MATCH($B$3,'Casos de prueba'!$A$5:$A$200,0))="","",INDEX('Casos de prueba'!$Q$5:$Q$200,MATCH($B$3,'Casos de prueba'!$A$5:$A$200,0))),"")</f>
        <v>Aprobado</v>
      </c>
    </row>
    <row r="19" spans="1:2" x14ac:dyDescent="0.3">
      <c r="A19" s="11" t="s">
        <v>69</v>
      </c>
      <c r="B19" s="21" t="str">
        <f>IFERROR(IF(INDEX('Casos de prueba'!$R$5:$R$200,MATCH($B$3,'Casos de prueba'!$A$5:$A$200,0))="","",INDEX('Casos de prueba'!$R$5:$R$200,MATCH($B$3,'Casos de prueba'!$A$5:$A$200,0))),"")</f>
        <v>DEF-001 (severidad Baja) corregido y verificado el 26-oct-2026; la regresión de la interfaz queda en 161 de 161 pruebas. Ajuste al diseño del caso: la web muestra el desglose siempre visible y el despliegue al tocar un rubro es de la app móvil, por eso se corrigió el texto del caso.</v>
      </c>
    </row>
    <row r="20" spans="1:2" x14ac:dyDescent="0.3">
      <c r="A20" s="11" t="s">
        <v>70</v>
      </c>
      <c r="B20" s="21" t="str">
        <f>IFERROR(IF(INDEX('Casos de prueba'!$S$5:$S$200,MATCH($B$3,'Casos de prueba'!$A$5:$A$200,0))="","",INDEX('Casos de prueba'!$S$5:$S$200,MATCH($B$3,'Casos de prueba'!$A$5:$A$200,0))),"")</f>
        <v>Baja</v>
      </c>
    </row>
    <row r="21" spans="1:2" ht="26.4" x14ac:dyDescent="0.3">
      <c r="A21" s="11" t="s">
        <v>3</v>
      </c>
      <c r="B21" s="21" t="str">
        <f>IFERROR(IF(INDEX('Casos de prueba'!$T$5:$T$200,MATCH($B$3,'Casos de prueba'!$A$5:$A$200,0))="","",INDEX('Casos de prueba'!$T$5:$T$200,MATCH($B$3,'Casos de prueba'!$A$5:$A$200,0))),"")</f>
        <v>Capturas del módulo contable (unidad, lote, error y repetición) en el informe EV01 y docs/pruebas/ejecucion/resultados/vitest_20261026_correccion.log</v>
      </c>
    </row>
    <row r="22" spans="1:2" x14ac:dyDescent="0.3">
      <c r="A22" s="11" t="s">
        <v>71</v>
      </c>
      <c r="B22" s="21" t="str">
        <f>IFERROR(IF(INDEX('Casos de prueba'!$U$5:$U$200,MATCH($B$3,'Casos de prueba'!$A$5:$A$200,0))="","",INDEX('Casos de prueba'!$U$5:$U$200,MATCH($B$3,'Casos de prueba'!$A$5:$A$200,0))),"")</f>
        <v>Brayian Jhovany Piedrahita Cortes</v>
      </c>
    </row>
    <row r="24" spans="1:2" ht="15" customHeight="1" x14ac:dyDescent="0.3">
      <c r="A24" s="2" t="s">
        <v>464</v>
      </c>
      <c r="B24" s="2"/>
    </row>
  </sheetData>
  <mergeCells count="3">
    <mergeCell ref="A1:B1"/>
    <mergeCell ref="A2:B2"/>
    <mergeCell ref="A24:B24"/>
  </mergeCells>
  <pageMargins left="0.4" right="0.4" top="0.5" bottom="0.5" header="0.511811023622047" footer="0.5"/>
  <pageSetup fitToHeight="0" orientation="portrait" horizontalDpi="300" verticalDpi="300"/>
  <headerFooter>
    <oddFooter>&amp;C&amp;8 Pastoreando · GA9-220501096-AA3-EV01 · 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Caso no válido" error="Elija un número de caso de la lista." xr:uid="{00000000-0002-0000-0200-000000000000}">
          <x14:formula1>
            <xm:f>'Casos de prueba'!$A$5:$A$200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69"/>
  <sheetViews>
    <sheetView topLeftCell="C1" zoomScaleNormal="100" workbookViewId="0">
      <pane ySplit="3" topLeftCell="A52" activePane="bottomLeft" state="frozen"/>
      <selection pane="bottomLeft" activeCell="G62" sqref="G62"/>
    </sheetView>
  </sheetViews>
  <sheetFormatPr baseColWidth="10" defaultColWidth="8.6640625" defaultRowHeight="14.4" x14ac:dyDescent="0.3"/>
  <cols>
    <col min="1" max="1" width="13" customWidth="1"/>
    <col min="2" max="2" width="40" customWidth="1"/>
    <col min="3" max="6" width="34" customWidth="1"/>
    <col min="7" max="10" width="11" customWidth="1"/>
    <col min="11" max="11" width="13" customWidth="1"/>
  </cols>
  <sheetData>
    <row r="1" spans="1:6" ht="27.75" customHeight="1" x14ac:dyDescent="0.3">
      <c r="A1" s="5" t="s">
        <v>465</v>
      </c>
      <c r="B1" s="5"/>
      <c r="C1" s="5"/>
      <c r="D1" s="5"/>
      <c r="E1" s="5"/>
      <c r="F1" s="5"/>
    </row>
    <row r="2" spans="1:6" ht="27.75" customHeight="1" x14ac:dyDescent="0.3">
      <c r="A2" s="4" t="s">
        <v>466</v>
      </c>
      <c r="B2" s="4"/>
      <c r="C2" s="4"/>
      <c r="D2" s="4"/>
      <c r="E2" s="4"/>
      <c r="F2" s="4"/>
    </row>
    <row r="4" spans="1:6" ht="19.5" customHeight="1" x14ac:dyDescent="0.3">
      <c r="A4" s="6" t="s">
        <v>467</v>
      </c>
      <c r="B4" s="6"/>
      <c r="C4" s="6"/>
      <c r="D4" s="6"/>
      <c r="E4" s="6"/>
      <c r="F4" s="6"/>
    </row>
    <row r="5" spans="1:6" ht="30" customHeight="1" x14ac:dyDescent="0.3">
      <c r="A5" s="16" t="s">
        <v>468</v>
      </c>
      <c r="B5" s="16" t="s">
        <v>469</v>
      </c>
      <c r="C5" s="16" t="s">
        <v>470</v>
      </c>
      <c r="D5" s="16" t="s">
        <v>471</v>
      </c>
      <c r="E5" s="16" t="s">
        <v>472</v>
      </c>
      <c r="F5" s="16" t="s">
        <v>473</v>
      </c>
    </row>
    <row r="6" spans="1:6" ht="39.6" x14ac:dyDescent="0.3">
      <c r="A6" s="19" t="s">
        <v>474</v>
      </c>
      <c r="B6" s="12" t="s">
        <v>475</v>
      </c>
      <c r="C6" s="12" t="s">
        <v>476</v>
      </c>
      <c r="D6" s="12" t="s">
        <v>477</v>
      </c>
      <c r="E6" s="12" t="s">
        <v>478</v>
      </c>
      <c r="F6" s="12" t="s">
        <v>479</v>
      </c>
    </row>
    <row r="7" spans="1:6" ht="26.4" x14ac:dyDescent="0.3">
      <c r="A7" s="11" t="s">
        <v>480</v>
      </c>
      <c r="B7" s="23" t="s">
        <v>481</v>
      </c>
      <c r="C7" s="23" t="s">
        <v>482</v>
      </c>
      <c r="D7" s="23" t="s">
        <v>483</v>
      </c>
      <c r="E7" s="23" t="s">
        <v>484</v>
      </c>
      <c r="F7" s="23" t="s">
        <v>485</v>
      </c>
    </row>
    <row r="8" spans="1:6" ht="26.4" x14ac:dyDescent="0.3">
      <c r="A8" s="19" t="s">
        <v>486</v>
      </c>
      <c r="B8" s="12" t="s">
        <v>487</v>
      </c>
      <c r="C8" s="12" t="s">
        <v>488</v>
      </c>
      <c r="D8" s="12" t="s">
        <v>489</v>
      </c>
      <c r="E8" s="12" t="s">
        <v>490</v>
      </c>
      <c r="F8" s="12" t="s">
        <v>491</v>
      </c>
    </row>
    <row r="9" spans="1:6" ht="39.6" x14ac:dyDescent="0.3">
      <c r="A9" s="11" t="s">
        <v>492</v>
      </c>
      <c r="B9" s="23" t="s">
        <v>493</v>
      </c>
      <c r="C9" s="23" t="s">
        <v>494</v>
      </c>
      <c r="D9" s="23" t="s">
        <v>489</v>
      </c>
      <c r="E9" s="23" t="s">
        <v>495</v>
      </c>
      <c r="F9" s="23" t="s">
        <v>496</v>
      </c>
    </row>
    <row r="10" spans="1:6" ht="26.4" x14ac:dyDescent="0.3">
      <c r="A10" s="19" t="s">
        <v>497</v>
      </c>
      <c r="B10" s="12" t="s">
        <v>498</v>
      </c>
      <c r="C10" s="12" t="s">
        <v>499</v>
      </c>
      <c r="D10" s="12" t="s">
        <v>500</v>
      </c>
      <c r="E10" s="12" t="s">
        <v>501</v>
      </c>
      <c r="F10" s="12" t="s">
        <v>502</v>
      </c>
    </row>
    <row r="11" spans="1:6" ht="26.4" x14ac:dyDescent="0.3">
      <c r="A11" s="11" t="s">
        <v>503</v>
      </c>
      <c r="B11" s="23" t="s">
        <v>504</v>
      </c>
      <c r="C11" s="23" t="s">
        <v>505</v>
      </c>
      <c r="D11" s="23" t="s">
        <v>506</v>
      </c>
      <c r="E11" s="23" t="s">
        <v>507</v>
      </c>
      <c r="F11" s="23" t="s">
        <v>508</v>
      </c>
    </row>
    <row r="12" spans="1:6" ht="39.6" x14ac:dyDescent="0.3">
      <c r="A12" s="19" t="s">
        <v>509</v>
      </c>
      <c r="B12" s="12" t="s">
        <v>510</v>
      </c>
      <c r="C12" s="12" t="s">
        <v>511</v>
      </c>
      <c r="D12" s="12" t="s">
        <v>512</v>
      </c>
      <c r="E12" s="12" t="s">
        <v>513</v>
      </c>
      <c r="F12" s="12" t="s">
        <v>514</v>
      </c>
    </row>
    <row r="13" spans="1:6" ht="26.4" x14ac:dyDescent="0.3">
      <c r="A13" s="11" t="s">
        <v>515</v>
      </c>
      <c r="B13" s="23" t="s">
        <v>516</v>
      </c>
      <c r="C13" s="23" t="s">
        <v>517</v>
      </c>
      <c r="D13" s="23" t="s">
        <v>518</v>
      </c>
      <c r="E13" s="23" t="s">
        <v>519</v>
      </c>
      <c r="F13" s="23" t="s">
        <v>520</v>
      </c>
    </row>
    <row r="15" spans="1:6" ht="19.5" customHeight="1" x14ac:dyDescent="0.3">
      <c r="A15" s="6" t="s">
        <v>521</v>
      </c>
      <c r="B15" s="6"/>
      <c r="C15" s="6"/>
      <c r="D15" s="6"/>
      <c r="E15" s="6"/>
    </row>
    <row r="16" spans="1:6" ht="30" customHeight="1" x14ac:dyDescent="0.3">
      <c r="A16" s="16" t="s">
        <v>522</v>
      </c>
      <c r="B16" s="16" t="s">
        <v>523</v>
      </c>
      <c r="C16" s="16" t="s">
        <v>524</v>
      </c>
      <c r="D16" s="16" t="s">
        <v>525</v>
      </c>
      <c r="E16" s="16" t="s">
        <v>526</v>
      </c>
    </row>
    <row r="17" spans="1:5" ht="26.4" x14ac:dyDescent="0.3">
      <c r="A17" s="19" t="s">
        <v>527</v>
      </c>
      <c r="B17" s="12" t="s">
        <v>528</v>
      </c>
      <c r="C17" s="12" t="s">
        <v>529</v>
      </c>
      <c r="D17" s="12" t="s">
        <v>530</v>
      </c>
      <c r="E17" s="12" t="s">
        <v>531</v>
      </c>
    </row>
    <row r="18" spans="1:5" ht="26.4" x14ac:dyDescent="0.3">
      <c r="A18" s="11" t="s">
        <v>532</v>
      </c>
      <c r="B18" s="23" t="s">
        <v>533</v>
      </c>
      <c r="C18" s="23" t="s">
        <v>534</v>
      </c>
      <c r="D18" s="23" t="s">
        <v>535</v>
      </c>
      <c r="E18" s="23" t="s">
        <v>536</v>
      </c>
    </row>
    <row r="19" spans="1:5" ht="26.4" x14ac:dyDescent="0.3">
      <c r="A19" s="19" t="s">
        <v>537</v>
      </c>
      <c r="B19" s="12" t="s">
        <v>538</v>
      </c>
      <c r="C19" s="12" t="s">
        <v>539</v>
      </c>
      <c r="D19" s="12" t="s">
        <v>538</v>
      </c>
      <c r="E19" s="12" t="s">
        <v>536</v>
      </c>
    </row>
    <row r="20" spans="1:5" ht="39.6" x14ac:dyDescent="0.3">
      <c r="A20" s="11" t="s">
        <v>540</v>
      </c>
      <c r="B20" s="23" t="s">
        <v>541</v>
      </c>
      <c r="C20" s="23" t="s">
        <v>542</v>
      </c>
      <c r="D20" s="23" t="s">
        <v>543</v>
      </c>
      <c r="E20" s="23" t="s">
        <v>544</v>
      </c>
    </row>
    <row r="21" spans="1:5" ht="26.4" x14ac:dyDescent="0.3">
      <c r="A21" s="19" t="s">
        <v>545</v>
      </c>
      <c r="B21" s="12" t="s">
        <v>546</v>
      </c>
      <c r="C21" s="12" t="s">
        <v>547</v>
      </c>
      <c r="D21" s="12" t="s">
        <v>548</v>
      </c>
      <c r="E21" s="12" t="s">
        <v>549</v>
      </c>
    </row>
    <row r="22" spans="1:5" ht="26.4" x14ac:dyDescent="0.3">
      <c r="A22" s="11" t="s">
        <v>550</v>
      </c>
      <c r="B22" s="23" t="s">
        <v>551</v>
      </c>
      <c r="C22" s="23" t="s">
        <v>552</v>
      </c>
      <c r="D22" s="23" t="s">
        <v>87</v>
      </c>
      <c r="E22" s="23" t="s">
        <v>87</v>
      </c>
    </row>
    <row r="23" spans="1:5" ht="26.4" x14ac:dyDescent="0.3">
      <c r="A23" s="19" t="s">
        <v>553</v>
      </c>
      <c r="B23" s="12" t="s">
        <v>554</v>
      </c>
      <c r="C23" s="12" t="s">
        <v>555</v>
      </c>
      <c r="D23" s="12" t="s">
        <v>87</v>
      </c>
      <c r="E23" s="12" t="s">
        <v>87</v>
      </c>
    </row>
    <row r="24" spans="1:5" ht="26.4" x14ac:dyDescent="0.3">
      <c r="A24" s="11" t="s">
        <v>556</v>
      </c>
      <c r="B24" s="23" t="s">
        <v>557</v>
      </c>
      <c r="C24" s="23" t="s">
        <v>558</v>
      </c>
      <c r="D24" s="23" t="s">
        <v>87</v>
      </c>
      <c r="E24" s="23" t="s">
        <v>87</v>
      </c>
    </row>
    <row r="25" spans="1:5" ht="26.4" x14ac:dyDescent="0.3">
      <c r="A25" s="19" t="s">
        <v>559</v>
      </c>
      <c r="B25" s="12" t="s">
        <v>560</v>
      </c>
      <c r="C25" s="12" t="s">
        <v>561</v>
      </c>
      <c r="D25" s="12" t="s">
        <v>87</v>
      </c>
      <c r="E25" s="12" t="s">
        <v>562</v>
      </c>
    </row>
    <row r="26" spans="1:5" ht="26.4" x14ac:dyDescent="0.3">
      <c r="A26" s="11" t="s">
        <v>563</v>
      </c>
      <c r="B26" s="23" t="s">
        <v>564</v>
      </c>
      <c r="C26" s="23" t="s">
        <v>565</v>
      </c>
      <c r="D26" s="23" t="s">
        <v>566</v>
      </c>
      <c r="E26" s="23" t="s">
        <v>567</v>
      </c>
    </row>
    <row r="27" spans="1:5" ht="26.4" x14ac:dyDescent="0.3">
      <c r="A27" s="19" t="s">
        <v>568</v>
      </c>
      <c r="B27" s="12" t="s">
        <v>569</v>
      </c>
      <c r="C27" s="12" t="s">
        <v>570</v>
      </c>
      <c r="D27" s="12" t="s">
        <v>87</v>
      </c>
      <c r="E27" s="12" t="s">
        <v>87</v>
      </c>
    </row>
    <row r="29" spans="1:5" ht="19.5" customHeight="1" x14ac:dyDescent="0.3">
      <c r="A29" s="6" t="s">
        <v>571</v>
      </c>
      <c r="B29" s="6"/>
      <c r="C29" s="6"/>
    </row>
    <row r="30" spans="1:5" ht="30" customHeight="1" x14ac:dyDescent="0.3">
      <c r="A30" s="16" t="s">
        <v>572</v>
      </c>
      <c r="B30" s="16" t="s">
        <v>55</v>
      </c>
      <c r="C30" s="16" t="s">
        <v>573</v>
      </c>
    </row>
    <row r="31" spans="1:5" ht="39.6" x14ac:dyDescent="0.3">
      <c r="A31" s="19" t="s">
        <v>529</v>
      </c>
      <c r="B31" s="12" t="s">
        <v>574</v>
      </c>
      <c r="C31" s="12" t="s">
        <v>575</v>
      </c>
    </row>
    <row r="32" spans="1:5" ht="39.6" x14ac:dyDescent="0.3">
      <c r="A32" s="11" t="s">
        <v>576</v>
      </c>
      <c r="B32" s="23" t="s">
        <v>577</v>
      </c>
      <c r="C32" s="23" t="s">
        <v>515</v>
      </c>
    </row>
    <row r="33" spans="1:4" ht="39.6" x14ac:dyDescent="0.3">
      <c r="A33" s="19" t="s">
        <v>578</v>
      </c>
      <c r="B33" s="12" t="s">
        <v>579</v>
      </c>
      <c r="C33" s="12" t="s">
        <v>580</v>
      </c>
    </row>
    <row r="34" spans="1:4" ht="52.8" x14ac:dyDescent="0.3">
      <c r="A34" s="11" t="s">
        <v>581</v>
      </c>
      <c r="B34" s="23" t="s">
        <v>582</v>
      </c>
      <c r="C34" s="23" t="s">
        <v>583</v>
      </c>
    </row>
    <row r="36" spans="1:4" ht="19.5" customHeight="1" x14ac:dyDescent="0.3">
      <c r="A36" s="6" t="s">
        <v>584</v>
      </c>
      <c r="B36" s="6"/>
      <c r="C36" s="6"/>
    </row>
    <row r="37" spans="1:4" ht="30" customHeight="1" x14ac:dyDescent="0.3">
      <c r="A37" s="16" t="s">
        <v>585</v>
      </c>
      <c r="B37" s="16" t="s">
        <v>586</v>
      </c>
      <c r="C37" s="16" t="s">
        <v>524</v>
      </c>
    </row>
    <row r="38" spans="1:4" ht="26.4" x14ac:dyDescent="0.3">
      <c r="A38" s="19" t="s">
        <v>587</v>
      </c>
      <c r="B38" s="12" t="s">
        <v>588</v>
      </c>
      <c r="C38" s="12" t="s">
        <v>589</v>
      </c>
    </row>
    <row r="39" spans="1:4" ht="26.4" x14ac:dyDescent="0.3">
      <c r="A39" s="11" t="s">
        <v>590</v>
      </c>
      <c r="B39" s="23" t="s">
        <v>591</v>
      </c>
      <c r="C39" s="23" t="s">
        <v>592</v>
      </c>
    </row>
    <row r="40" spans="1:4" ht="26.4" x14ac:dyDescent="0.3">
      <c r="A40" s="19" t="s">
        <v>593</v>
      </c>
      <c r="B40" s="12" t="s">
        <v>594</v>
      </c>
      <c r="C40" s="12" t="s">
        <v>595</v>
      </c>
    </row>
    <row r="41" spans="1:4" x14ac:dyDescent="0.3">
      <c r="A41" s="11" t="s">
        <v>596</v>
      </c>
      <c r="B41" s="23" t="s">
        <v>597</v>
      </c>
      <c r="C41" s="23" t="s">
        <v>598</v>
      </c>
    </row>
    <row r="42" spans="1:4" ht="52.8" x14ac:dyDescent="0.3">
      <c r="A42" s="19" t="s">
        <v>599</v>
      </c>
      <c r="B42" s="12" t="s">
        <v>600</v>
      </c>
      <c r="C42" s="12" t="s">
        <v>601</v>
      </c>
    </row>
    <row r="43" spans="1:4" ht="39.6" x14ac:dyDescent="0.3">
      <c r="A43" s="11" t="s">
        <v>602</v>
      </c>
      <c r="B43" s="23" t="s">
        <v>603</v>
      </c>
      <c r="C43" s="23" t="s">
        <v>604</v>
      </c>
    </row>
    <row r="45" spans="1:4" ht="19.5" customHeight="1" x14ac:dyDescent="0.3">
      <c r="A45" s="6" t="s">
        <v>605</v>
      </c>
      <c r="B45" s="6"/>
      <c r="C45" s="6"/>
      <c r="D45" s="6"/>
    </row>
    <row r="46" spans="1:4" ht="30" customHeight="1" x14ac:dyDescent="0.3">
      <c r="A46" s="16" t="s">
        <v>606</v>
      </c>
      <c r="B46" s="16" t="s">
        <v>525</v>
      </c>
      <c r="C46" s="16" t="s">
        <v>607</v>
      </c>
      <c r="D46" s="16" t="s">
        <v>608</v>
      </c>
    </row>
    <row r="47" spans="1:4" ht="39.6" x14ac:dyDescent="0.3">
      <c r="A47" s="19" t="s">
        <v>609</v>
      </c>
      <c r="B47" s="12" t="s">
        <v>610</v>
      </c>
      <c r="C47" s="12" t="s">
        <v>611</v>
      </c>
      <c r="D47" s="12" t="s">
        <v>612</v>
      </c>
    </row>
    <row r="48" spans="1:4" ht="39.6" x14ac:dyDescent="0.3">
      <c r="A48" s="11" t="s">
        <v>613</v>
      </c>
      <c r="B48" s="23" t="s">
        <v>614</v>
      </c>
      <c r="C48" s="23" t="s">
        <v>615</v>
      </c>
      <c r="D48" s="23" t="s">
        <v>616</v>
      </c>
    </row>
    <row r="49" spans="1:11" ht="39.6" x14ac:dyDescent="0.3">
      <c r="A49" s="19" t="s">
        <v>617</v>
      </c>
      <c r="B49" s="12" t="s">
        <v>618</v>
      </c>
      <c r="C49" s="12" t="s">
        <v>619</v>
      </c>
      <c r="D49" s="12" t="s">
        <v>620</v>
      </c>
    </row>
    <row r="50" spans="1:11" ht="26.4" x14ac:dyDescent="0.3">
      <c r="A50" s="11" t="s">
        <v>621</v>
      </c>
      <c r="B50" s="23" t="s">
        <v>622</v>
      </c>
      <c r="C50" s="23" t="s">
        <v>623</v>
      </c>
      <c r="D50" s="23" t="s">
        <v>624</v>
      </c>
    </row>
    <row r="51" spans="1:11" ht="39.6" x14ac:dyDescent="0.3">
      <c r="A51" s="19" t="s">
        <v>625</v>
      </c>
      <c r="B51" s="12" t="s">
        <v>626</v>
      </c>
      <c r="C51" s="12" t="s">
        <v>627</v>
      </c>
      <c r="D51" s="12" t="s">
        <v>628</v>
      </c>
    </row>
    <row r="52" spans="1:11" ht="26.4" x14ac:dyDescent="0.3">
      <c r="A52" s="11" t="s">
        <v>629</v>
      </c>
      <c r="B52" s="23" t="s">
        <v>548</v>
      </c>
      <c r="C52" s="23" t="s">
        <v>630</v>
      </c>
      <c r="D52" s="23" t="s">
        <v>631</v>
      </c>
    </row>
    <row r="54" spans="1:11" ht="19.5" customHeight="1" x14ac:dyDescent="0.3">
      <c r="A54" s="6" t="s">
        <v>632</v>
      </c>
      <c r="B54" s="6"/>
      <c r="C54" s="6"/>
      <c r="D54" s="6"/>
      <c r="E54" s="6"/>
      <c r="F54" s="6"/>
      <c r="G54" s="6"/>
      <c r="H54" s="6"/>
      <c r="I54" s="6"/>
      <c r="J54" s="6"/>
    </row>
    <row r="55" spans="1:11" ht="24" customHeight="1" x14ac:dyDescent="0.3">
      <c r="A55" s="16" t="s">
        <v>55</v>
      </c>
      <c r="B55" s="16" t="s">
        <v>633</v>
      </c>
      <c r="C55" s="16" t="s">
        <v>474</v>
      </c>
      <c r="D55" s="16" t="s">
        <v>480</v>
      </c>
      <c r="E55" s="16" t="s">
        <v>486</v>
      </c>
      <c r="F55" s="16" t="s">
        <v>492</v>
      </c>
      <c r="G55" s="16" t="s">
        <v>497</v>
      </c>
      <c r="H55" s="16" t="s">
        <v>503</v>
      </c>
      <c r="I55" s="16" t="s">
        <v>509</v>
      </c>
      <c r="J55" s="16" t="s">
        <v>515</v>
      </c>
      <c r="K55" s="27" t="s">
        <v>634</v>
      </c>
    </row>
    <row r="56" spans="1:11" x14ac:dyDescent="0.3">
      <c r="A56" s="18" t="s">
        <v>136</v>
      </c>
      <c r="B56" s="12" t="s">
        <v>635</v>
      </c>
      <c r="C56" s="13">
        <f>COUNTIFS('Casos de prueba'!$D$5:$D$200,$A56,'Casos de prueba'!$I$5:$I$200,C$55&amp;"*")</f>
        <v>2</v>
      </c>
      <c r="D56" s="13">
        <f>COUNTIFS('Casos de prueba'!$D$5:$D$200,$A56,'Casos de prueba'!$I$5:$I$200,D$55&amp;"*")</f>
        <v>0</v>
      </c>
      <c r="E56" s="13">
        <f>COUNTIFS('Casos de prueba'!$D$5:$D$200,$A56,'Casos de prueba'!$I$5:$I$200,E$55&amp;"*")</f>
        <v>4</v>
      </c>
      <c r="F56" s="13">
        <f>COUNTIFS('Casos de prueba'!$D$5:$D$200,$A56,'Casos de prueba'!$I$5:$I$200,F$55&amp;"*")</f>
        <v>0</v>
      </c>
      <c r="G56" s="13">
        <f>COUNTIFS('Casos de prueba'!$D$5:$D$200,$A56,'Casos de prueba'!$I$5:$I$200,G$55&amp;"*")</f>
        <v>0</v>
      </c>
      <c r="H56" s="13">
        <f>COUNTIFS('Casos de prueba'!$D$5:$D$200,$A56,'Casos de prueba'!$I$5:$I$200,H$55&amp;"*")</f>
        <v>3</v>
      </c>
      <c r="I56" s="13">
        <f>COUNTIFS('Casos de prueba'!$D$5:$D$200,$A56,'Casos de prueba'!$I$5:$I$200,I$55&amp;"*")</f>
        <v>0</v>
      </c>
      <c r="J56" s="13">
        <f>COUNTIFS('Casos de prueba'!$D$5:$D$200,$A56,'Casos de prueba'!$I$5:$I$200,J$55&amp;"*")</f>
        <v>0</v>
      </c>
      <c r="K56" s="18">
        <f t="shared" ref="K56:K68" si="0">SUM(C56:J56)</f>
        <v>9</v>
      </c>
    </row>
    <row r="57" spans="1:11" ht="26.4" x14ac:dyDescent="0.3">
      <c r="A57" s="15" t="s">
        <v>75</v>
      </c>
      <c r="B57" s="23" t="s">
        <v>636</v>
      </c>
      <c r="C57" s="24">
        <f>COUNTIFS('Casos de prueba'!$D$5:$D$200,$A57,'Casos de prueba'!$I$5:$I$200,C$55&amp;"*")</f>
        <v>0</v>
      </c>
      <c r="D57" s="24">
        <f>COUNTIFS('Casos de prueba'!$D$5:$D$200,$A57,'Casos de prueba'!$I$5:$I$200,D$55&amp;"*")</f>
        <v>0</v>
      </c>
      <c r="E57" s="24">
        <f>COUNTIFS('Casos de prueba'!$D$5:$D$200,$A57,'Casos de prueba'!$I$5:$I$200,E$55&amp;"*")</f>
        <v>4</v>
      </c>
      <c r="F57" s="24">
        <f>COUNTIFS('Casos de prueba'!$D$5:$D$200,$A57,'Casos de prueba'!$I$5:$I$200,F$55&amp;"*")</f>
        <v>0</v>
      </c>
      <c r="G57" s="24">
        <f>COUNTIFS('Casos de prueba'!$D$5:$D$200,$A57,'Casos de prueba'!$I$5:$I$200,G$55&amp;"*")</f>
        <v>0</v>
      </c>
      <c r="H57" s="24">
        <f>COUNTIFS('Casos de prueba'!$D$5:$D$200,$A57,'Casos de prueba'!$I$5:$I$200,H$55&amp;"*")</f>
        <v>1</v>
      </c>
      <c r="I57" s="24">
        <f>COUNTIFS('Casos de prueba'!$D$5:$D$200,$A57,'Casos de prueba'!$I$5:$I$200,I$55&amp;"*")</f>
        <v>0</v>
      </c>
      <c r="J57" s="24">
        <f>COUNTIFS('Casos de prueba'!$D$5:$D$200,$A57,'Casos de prueba'!$I$5:$I$200,J$55&amp;"*")</f>
        <v>0</v>
      </c>
      <c r="K57" s="15">
        <f t="shared" si="0"/>
        <v>5</v>
      </c>
    </row>
    <row r="58" spans="1:11" x14ac:dyDescent="0.3">
      <c r="A58" s="18" t="s">
        <v>107</v>
      </c>
      <c r="B58" s="12" t="s">
        <v>637</v>
      </c>
      <c r="C58" s="13">
        <f>COUNTIFS('Casos de prueba'!$D$5:$D$200,$A58,'Casos de prueba'!$I$5:$I$200,C$55&amp;"*")</f>
        <v>1</v>
      </c>
      <c r="D58" s="13">
        <f>COUNTIFS('Casos de prueba'!$D$5:$D$200,$A58,'Casos de prueba'!$I$5:$I$200,D$55&amp;"*")</f>
        <v>0</v>
      </c>
      <c r="E58" s="13">
        <f>COUNTIFS('Casos de prueba'!$D$5:$D$200,$A58,'Casos de prueba'!$I$5:$I$200,E$55&amp;"*")</f>
        <v>1</v>
      </c>
      <c r="F58" s="13">
        <f>COUNTIFS('Casos de prueba'!$D$5:$D$200,$A58,'Casos de prueba'!$I$5:$I$200,F$55&amp;"*")</f>
        <v>0</v>
      </c>
      <c r="G58" s="13">
        <f>COUNTIFS('Casos de prueba'!$D$5:$D$200,$A58,'Casos de prueba'!$I$5:$I$200,G$55&amp;"*")</f>
        <v>0</v>
      </c>
      <c r="H58" s="13">
        <f>COUNTIFS('Casos de prueba'!$D$5:$D$200,$A58,'Casos de prueba'!$I$5:$I$200,H$55&amp;"*")</f>
        <v>0</v>
      </c>
      <c r="I58" s="13">
        <f>COUNTIFS('Casos de prueba'!$D$5:$D$200,$A58,'Casos de prueba'!$I$5:$I$200,I$55&amp;"*")</f>
        <v>0</v>
      </c>
      <c r="J58" s="13">
        <f>COUNTIFS('Casos de prueba'!$D$5:$D$200,$A58,'Casos de prueba'!$I$5:$I$200,J$55&amp;"*")</f>
        <v>0</v>
      </c>
      <c r="K58" s="18">
        <f t="shared" si="0"/>
        <v>2</v>
      </c>
    </row>
    <row r="59" spans="1:11" x14ac:dyDescent="0.3">
      <c r="A59" s="15" t="s">
        <v>342</v>
      </c>
      <c r="B59" s="23" t="s">
        <v>638</v>
      </c>
      <c r="C59" s="24">
        <f>COUNTIFS('Casos de prueba'!$D$5:$D$200,$A59,'Casos de prueba'!$I$5:$I$200,C$55&amp;"*")</f>
        <v>2</v>
      </c>
      <c r="D59" s="24">
        <f>COUNTIFS('Casos de prueba'!$D$5:$D$200,$A59,'Casos de prueba'!$I$5:$I$200,D$55&amp;"*")</f>
        <v>0</v>
      </c>
      <c r="E59" s="24">
        <f>COUNTIFS('Casos de prueba'!$D$5:$D$200,$A59,'Casos de prueba'!$I$5:$I$200,E$55&amp;"*")</f>
        <v>0</v>
      </c>
      <c r="F59" s="24">
        <f>COUNTIFS('Casos de prueba'!$D$5:$D$200,$A59,'Casos de prueba'!$I$5:$I$200,F$55&amp;"*")</f>
        <v>0</v>
      </c>
      <c r="G59" s="24">
        <f>COUNTIFS('Casos de prueba'!$D$5:$D$200,$A59,'Casos de prueba'!$I$5:$I$200,G$55&amp;"*")</f>
        <v>0</v>
      </c>
      <c r="H59" s="24">
        <f>COUNTIFS('Casos de prueba'!$D$5:$D$200,$A59,'Casos de prueba'!$I$5:$I$200,H$55&amp;"*")</f>
        <v>0</v>
      </c>
      <c r="I59" s="24">
        <f>COUNTIFS('Casos de prueba'!$D$5:$D$200,$A59,'Casos de prueba'!$I$5:$I$200,I$55&amp;"*")</f>
        <v>0</v>
      </c>
      <c r="J59" s="24">
        <f>COUNTIFS('Casos de prueba'!$D$5:$D$200,$A59,'Casos de prueba'!$I$5:$I$200,J$55&amp;"*")</f>
        <v>0</v>
      </c>
      <c r="K59" s="15">
        <f t="shared" si="0"/>
        <v>2</v>
      </c>
    </row>
    <row r="60" spans="1:11" x14ac:dyDescent="0.3">
      <c r="A60" s="18" t="s">
        <v>189</v>
      </c>
      <c r="B60" s="12" t="s">
        <v>639</v>
      </c>
      <c r="C60" s="13">
        <f>COUNTIFS('Casos de prueba'!$D$5:$D$200,$A60,'Casos de prueba'!$I$5:$I$200,C$55&amp;"*")</f>
        <v>1</v>
      </c>
      <c r="D60" s="13">
        <f>COUNTIFS('Casos de prueba'!$D$5:$D$200,$A60,'Casos de prueba'!$I$5:$I$200,D$55&amp;"*")</f>
        <v>0</v>
      </c>
      <c r="E60" s="13">
        <f>COUNTIFS('Casos de prueba'!$D$5:$D$200,$A60,'Casos de prueba'!$I$5:$I$200,E$55&amp;"*")</f>
        <v>6</v>
      </c>
      <c r="F60" s="13">
        <f>COUNTIFS('Casos de prueba'!$D$5:$D$200,$A60,'Casos de prueba'!$I$5:$I$200,F$55&amp;"*")</f>
        <v>0</v>
      </c>
      <c r="G60" s="13">
        <f>COUNTIFS('Casos de prueba'!$D$5:$D$200,$A60,'Casos de prueba'!$I$5:$I$200,G$55&amp;"*")</f>
        <v>0</v>
      </c>
      <c r="H60" s="13">
        <f>COUNTIFS('Casos de prueba'!$D$5:$D$200,$A60,'Casos de prueba'!$I$5:$I$200,H$55&amp;"*")</f>
        <v>1</v>
      </c>
      <c r="I60" s="13">
        <f>COUNTIFS('Casos de prueba'!$D$5:$D$200,$A60,'Casos de prueba'!$I$5:$I$200,I$55&amp;"*")</f>
        <v>0</v>
      </c>
      <c r="J60" s="13">
        <f>COUNTIFS('Casos de prueba'!$D$5:$D$200,$A60,'Casos de prueba'!$I$5:$I$200,J$55&amp;"*")</f>
        <v>0</v>
      </c>
      <c r="K60" s="18">
        <f t="shared" si="0"/>
        <v>8</v>
      </c>
    </row>
    <row r="61" spans="1:11" x14ac:dyDescent="0.3">
      <c r="A61" s="15" t="s">
        <v>237</v>
      </c>
      <c r="B61" s="23" t="s">
        <v>640</v>
      </c>
      <c r="C61" s="24">
        <f>COUNTIFS('Casos de prueba'!$D$5:$D$200,$A61,'Casos de prueba'!$I$5:$I$200,C$55&amp;"*")</f>
        <v>2</v>
      </c>
      <c r="D61" s="24">
        <f>COUNTIFS('Casos de prueba'!$D$5:$D$200,$A61,'Casos de prueba'!$I$5:$I$200,D$55&amp;"*")</f>
        <v>0</v>
      </c>
      <c r="E61" s="24">
        <f>COUNTIFS('Casos de prueba'!$D$5:$D$200,$A61,'Casos de prueba'!$I$5:$I$200,E$55&amp;"*")</f>
        <v>5</v>
      </c>
      <c r="F61" s="24">
        <f>COUNTIFS('Casos de prueba'!$D$5:$D$200,$A61,'Casos de prueba'!$I$5:$I$200,F$55&amp;"*")</f>
        <v>0</v>
      </c>
      <c r="G61" s="24">
        <f>COUNTIFS('Casos de prueba'!$D$5:$D$200,$A61,'Casos de prueba'!$I$5:$I$200,G$55&amp;"*")</f>
        <v>0</v>
      </c>
      <c r="H61" s="24">
        <f>COUNTIFS('Casos de prueba'!$D$5:$D$200,$A61,'Casos de prueba'!$I$5:$I$200,H$55&amp;"*")</f>
        <v>3</v>
      </c>
      <c r="I61" s="24">
        <f>COUNTIFS('Casos de prueba'!$D$5:$D$200,$A61,'Casos de prueba'!$I$5:$I$200,I$55&amp;"*")</f>
        <v>0</v>
      </c>
      <c r="J61" s="24">
        <f>COUNTIFS('Casos de prueba'!$D$5:$D$200,$A61,'Casos de prueba'!$I$5:$I$200,J$55&amp;"*")</f>
        <v>0</v>
      </c>
      <c r="K61" s="15">
        <f t="shared" si="0"/>
        <v>10</v>
      </c>
    </row>
    <row r="62" spans="1:11" ht="26.4" x14ac:dyDescent="0.3">
      <c r="A62" s="18" t="s">
        <v>297</v>
      </c>
      <c r="B62" s="12" t="s">
        <v>641</v>
      </c>
      <c r="C62" s="13">
        <f>COUNTIFS('Casos de prueba'!$D$5:$D$200,$A62,'Casos de prueba'!$I$5:$I$200,C$55&amp;"*")</f>
        <v>0</v>
      </c>
      <c r="D62" s="13">
        <f>COUNTIFS('Casos de prueba'!$D$5:$D$200,$A62,'Casos de prueba'!$I$5:$I$200,D$55&amp;"*")</f>
        <v>0</v>
      </c>
      <c r="E62" s="13">
        <f>COUNTIFS('Casos de prueba'!$D$5:$D$200,$A62,'Casos de prueba'!$I$5:$I$200,E$55&amp;"*")</f>
        <v>2</v>
      </c>
      <c r="F62" s="13">
        <f>COUNTIFS('Casos de prueba'!$D$5:$D$200,$A62,'Casos de prueba'!$I$5:$I$200,F$55&amp;"*")</f>
        <v>0</v>
      </c>
      <c r="G62" s="13">
        <f>COUNTIFS('Casos de prueba'!$D$5:$D$200,$A62,'Casos de prueba'!$I$5:$I$200,G$55&amp;"*")</f>
        <v>0</v>
      </c>
      <c r="H62" s="13">
        <f>COUNTIFS('Casos de prueba'!$D$5:$D$200,$A62,'Casos de prueba'!$I$5:$I$200,H$55&amp;"*")</f>
        <v>2</v>
      </c>
      <c r="I62" s="13">
        <f>COUNTIFS('Casos de prueba'!$D$5:$D$200,$A62,'Casos de prueba'!$I$5:$I$200,I$55&amp;"*")</f>
        <v>0</v>
      </c>
      <c r="J62" s="13">
        <f>COUNTIFS('Casos de prueba'!$D$5:$D$200,$A62,'Casos de prueba'!$I$5:$I$200,J$55&amp;"*")</f>
        <v>0</v>
      </c>
      <c r="K62" s="18">
        <f t="shared" si="0"/>
        <v>4</v>
      </c>
    </row>
    <row r="63" spans="1:11" x14ac:dyDescent="0.3">
      <c r="A63" s="15" t="s">
        <v>433</v>
      </c>
      <c r="B63" s="23" t="s">
        <v>642</v>
      </c>
      <c r="C63" s="24">
        <f>COUNTIFS('Casos de prueba'!$D$5:$D$200,$A63,'Casos de prueba'!$I$5:$I$200,C$55&amp;"*")</f>
        <v>0</v>
      </c>
      <c r="D63" s="24">
        <f>COUNTIFS('Casos de prueba'!$D$5:$D$200,$A63,'Casos de prueba'!$I$5:$I$200,D$55&amp;"*")</f>
        <v>0</v>
      </c>
      <c r="E63" s="24">
        <f>COUNTIFS('Casos de prueba'!$D$5:$D$200,$A63,'Casos de prueba'!$I$5:$I$200,E$55&amp;"*")</f>
        <v>1</v>
      </c>
      <c r="F63" s="24">
        <f>COUNTIFS('Casos de prueba'!$D$5:$D$200,$A63,'Casos de prueba'!$I$5:$I$200,F$55&amp;"*")</f>
        <v>0</v>
      </c>
      <c r="G63" s="24">
        <f>COUNTIFS('Casos de prueba'!$D$5:$D$200,$A63,'Casos de prueba'!$I$5:$I$200,G$55&amp;"*")</f>
        <v>0</v>
      </c>
      <c r="H63" s="24">
        <f>COUNTIFS('Casos de prueba'!$D$5:$D$200,$A63,'Casos de prueba'!$I$5:$I$200,H$55&amp;"*")</f>
        <v>0</v>
      </c>
      <c r="I63" s="24">
        <f>COUNTIFS('Casos de prueba'!$D$5:$D$200,$A63,'Casos de prueba'!$I$5:$I$200,I$55&amp;"*")</f>
        <v>0</v>
      </c>
      <c r="J63" s="24">
        <f>COUNTIFS('Casos de prueba'!$D$5:$D$200,$A63,'Casos de prueba'!$I$5:$I$200,J$55&amp;"*")</f>
        <v>0</v>
      </c>
      <c r="K63" s="15">
        <f t="shared" si="0"/>
        <v>1</v>
      </c>
    </row>
    <row r="64" spans="1:11" x14ac:dyDescent="0.3">
      <c r="A64" s="18" t="s">
        <v>441</v>
      </c>
      <c r="B64" s="12" t="s">
        <v>643</v>
      </c>
      <c r="C64" s="13">
        <f>COUNTIFS('Casos de prueba'!$D$5:$D$200,$A64,'Casos de prueba'!$I$5:$I$200,C$55&amp;"*")</f>
        <v>1</v>
      </c>
      <c r="D64" s="13">
        <f>COUNTIFS('Casos de prueba'!$D$5:$D$200,$A64,'Casos de prueba'!$I$5:$I$200,D$55&amp;"*")</f>
        <v>0</v>
      </c>
      <c r="E64" s="13">
        <f>COUNTIFS('Casos de prueba'!$D$5:$D$200,$A64,'Casos de prueba'!$I$5:$I$200,E$55&amp;"*")</f>
        <v>0</v>
      </c>
      <c r="F64" s="13">
        <f>COUNTIFS('Casos de prueba'!$D$5:$D$200,$A64,'Casos de prueba'!$I$5:$I$200,F$55&amp;"*")</f>
        <v>0</v>
      </c>
      <c r="G64" s="13">
        <f>COUNTIFS('Casos de prueba'!$D$5:$D$200,$A64,'Casos de prueba'!$I$5:$I$200,G$55&amp;"*")</f>
        <v>0</v>
      </c>
      <c r="H64" s="13">
        <f>COUNTIFS('Casos de prueba'!$D$5:$D$200,$A64,'Casos de prueba'!$I$5:$I$200,H$55&amp;"*")</f>
        <v>0</v>
      </c>
      <c r="I64" s="13">
        <f>COUNTIFS('Casos de prueba'!$D$5:$D$200,$A64,'Casos de prueba'!$I$5:$I$200,I$55&amp;"*")</f>
        <v>0</v>
      </c>
      <c r="J64" s="13">
        <f>COUNTIFS('Casos de prueba'!$D$5:$D$200,$A64,'Casos de prueba'!$I$5:$I$200,J$55&amp;"*")</f>
        <v>0</v>
      </c>
      <c r="K64" s="18">
        <f t="shared" si="0"/>
        <v>1</v>
      </c>
    </row>
    <row r="65" spans="1:11" x14ac:dyDescent="0.3">
      <c r="A65" s="15" t="s">
        <v>316</v>
      </c>
      <c r="B65" s="23" t="s">
        <v>644</v>
      </c>
      <c r="C65" s="24">
        <f>COUNTIFS('Casos de prueba'!$D$5:$D$200,$A65,'Casos de prueba'!$I$5:$I$200,C$55&amp;"*")</f>
        <v>0</v>
      </c>
      <c r="D65" s="24">
        <f>COUNTIFS('Casos de prueba'!$D$5:$D$200,$A65,'Casos de prueba'!$I$5:$I$200,D$55&amp;"*")</f>
        <v>0</v>
      </c>
      <c r="E65" s="24">
        <f>COUNTIFS('Casos de prueba'!$D$5:$D$200,$A65,'Casos de prueba'!$I$5:$I$200,E$55&amp;"*")</f>
        <v>2</v>
      </c>
      <c r="F65" s="24">
        <f>COUNTIFS('Casos de prueba'!$D$5:$D$200,$A65,'Casos de prueba'!$I$5:$I$200,F$55&amp;"*")</f>
        <v>0</v>
      </c>
      <c r="G65" s="24">
        <f>COUNTIFS('Casos de prueba'!$D$5:$D$200,$A65,'Casos de prueba'!$I$5:$I$200,G$55&amp;"*")</f>
        <v>0</v>
      </c>
      <c r="H65" s="24">
        <f>COUNTIFS('Casos de prueba'!$D$5:$D$200,$A65,'Casos de prueba'!$I$5:$I$200,H$55&amp;"*")</f>
        <v>1</v>
      </c>
      <c r="I65" s="24">
        <f>COUNTIFS('Casos de prueba'!$D$5:$D$200,$A65,'Casos de prueba'!$I$5:$I$200,I$55&amp;"*")</f>
        <v>0</v>
      </c>
      <c r="J65" s="24">
        <f>COUNTIFS('Casos de prueba'!$D$5:$D$200,$A65,'Casos de prueba'!$I$5:$I$200,J$55&amp;"*")</f>
        <v>0</v>
      </c>
      <c r="K65" s="15">
        <f t="shared" si="0"/>
        <v>3</v>
      </c>
    </row>
    <row r="66" spans="1:11" x14ac:dyDescent="0.3">
      <c r="A66" s="18" t="s">
        <v>360</v>
      </c>
      <c r="B66" s="12" t="s">
        <v>645</v>
      </c>
      <c r="C66" s="13">
        <f>COUNTIFS('Casos de prueba'!$D$5:$D$200,$A66,'Casos de prueba'!$I$5:$I$200,C$55&amp;"*")</f>
        <v>3</v>
      </c>
      <c r="D66" s="13">
        <f>COUNTIFS('Casos de prueba'!$D$5:$D$200,$A66,'Casos de prueba'!$I$5:$I$200,D$55&amp;"*")</f>
        <v>0</v>
      </c>
      <c r="E66" s="13">
        <f>COUNTIFS('Casos de prueba'!$D$5:$D$200,$A66,'Casos de prueba'!$I$5:$I$200,E$55&amp;"*")</f>
        <v>0</v>
      </c>
      <c r="F66" s="13">
        <f>COUNTIFS('Casos de prueba'!$D$5:$D$200,$A66,'Casos de prueba'!$I$5:$I$200,F$55&amp;"*")</f>
        <v>0</v>
      </c>
      <c r="G66" s="13">
        <f>COUNTIFS('Casos de prueba'!$D$5:$D$200,$A66,'Casos de prueba'!$I$5:$I$200,G$55&amp;"*")</f>
        <v>1</v>
      </c>
      <c r="H66" s="13">
        <f>COUNTIFS('Casos de prueba'!$D$5:$D$200,$A66,'Casos de prueba'!$I$5:$I$200,H$55&amp;"*")</f>
        <v>0</v>
      </c>
      <c r="I66" s="13">
        <f>COUNTIFS('Casos de prueba'!$D$5:$D$200,$A66,'Casos de prueba'!$I$5:$I$200,I$55&amp;"*")</f>
        <v>0</v>
      </c>
      <c r="J66" s="13">
        <f>COUNTIFS('Casos de prueba'!$D$5:$D$200,$A66,'Casos de prueba'!$I$5:$I$200,J$55&amp;"*")</f>
        <v>1</v>
      </c>
      <c r="K66" s="18">
        <f t="shared" si="0"/>
        <v>5</v>
      </c>
    </row>
    <row r="67" spans="1:11" x14ac:dyDescent="0.3">
      <c r="A67" s="15" t="s">
        <v>453</v>
      </c>
      <c r="B67" s="23" t="s">
        <v>646</v>
      </c>
      <c r="C67" s="24">
        <f>COUNTIFS('Casos de prueba'!$D$5:$D$200,$A67,'Casos de prueba'!$I$5:$I$200,C$55&amp;"*")</f>
        <v>0</v>
      </c>
      <c r="D67" s="24">
        <f>COUNTIFS('Casos de prueba'!$D$5:$D$200,$A67,'Casos de prueba'!$I$5:$I$200,D$55&amp;"*")</f>
        <v>0</v>
      </c>
      <c r="E67" s="24">
        <f>COUNTIFS('Casos de prueba'!$D$5:$D$200,$A67,'Casos de prueba'!$I$5:$I$200,E$55&amp;"*")</f>
        <v>0</v>
      </c>
      <c r="F67" s="24">
        <f>COUNTIFS('Casos de prueba'!$D$5:$D$200,$A67,'Casos de prueba'!$I$5:$I$200,F$55&amp;"*")</f>
        <v>1</v>
      </c>
      <c r="G67" s="24">
        <f>COUNTIFS('Casos de prueba'!$D$5:$D$200,$A67,'Casos de prueba'!$I$5:$I$200,G$55&amp;"*")</f>
        <v>0</v>
      </c>
      <c r="H67" s="24">
        <f>COUNTIFS('Casos de prueba'!$D$5:$D$200,$A67,'Casos de prueba'!$I$5:$I$200,H$55&amp;"*")</f>
        <v>0</v>
      </c>
      <c r="I67" s="24">
        <f>COUNTIFS('Casos de prueba'!$D$5:$D$200,$A67,'Casos de prueba'!$I$5:$I$200,I$55&amp;"*")</f>
        <v>0</v>
      </c>
      <c r="J67" s="24">
        <f>COUNTIFS('Casos de prueba'!$D$5:$D$200,$A67,'Casos de prueba'!$I$5:$I$200,J$55&amp;"*")</f>
        <v>0</v>
      </c>
      <c r="K67" s="15">
        <f t="shared" si="0"/>
        <v>1</v>
      </c>
    </row>
    <row r="68" spans="1:11" ht="26.4" x14ac:dyDescent="0.3">
      <c r="A68" s="18" t="s">
        <v>353</v>
      </c>
      <c r="B68" s="12" t="s">
        <v>647</v>
      </c>
      <c r="C68" s="13">
        <f>COUNTIFS('Casos de prueba'!$D$5:$D$200,$A68,'Casos de prueba'!$I$5:$I$200,C$55&amp;"*")</f>
        <v>0</v>
      </c>
      <c r="D68" s="13">
        <f>COUNTIFS('Casos de prueba'!$D$5:$D$200,$A68,'Casos de prueba'!$I$5:$I$200,D$55&amp;"*")</f>
        <v>1</v>
      </c>
      <c r="E68" s="13">
        <f>COUNTIFS('Casos de prueba'!$D$5:$D$200,$A68,'Casos de prueba'!$I$5:$I$200,E$55&amp;"*")</f>
        <v>0</v>
      </c>
      <c r="F68" s="13">
        <f>COUNTIFS('Casos de prueba'!$D$5:$D$200,$A68,'Casos de prueba'!$I$5:$I$200,F$55&amp;"*")</f>
        <v>1</v>
      </c>
      <c r="G68" s="13">
        <f>COUNTIFS('Casos de prueba'!$D$5:$D$200,$A68,'Casos de prueba'!$I$5:$I$200,G$55&amp;"*")</f>
        <v>2</v>
      </c>
      <c r="H68" s="13">
        <f>COUNTIFS('Casos de prueba'!$D$5:$D$200,$A68,'Casos de prueba'!$I$5:$I$200,H$55&amp;"*")</f>
        <v>2</v>
      </c>
      <c r="I68" s="13">
        <f>COUNTIFS('Casos de prueba'!$D$5:$D$200,$A68,'Casos de prueba'!$I$5:$I$200,I$55&amp;"*")</f>
        <v>1</v>
      </c>
      <c r="J68" s="13">
        <f>COUNTIFS('Casos de prueba'!$D$5:$D$200,$A68,'Casos de prueba'!$I$5:$I$200,J$55&amp;"*")</f>
        <v>1</v>
      </c>
      <c r="K68" s="18">
        <f t="shared" si="0"/>
        <v>8</v>
      </c>
    </row>
    <row r="69" spans="1:11" x14ac:dyDescent="0.3">
      <c r="A69" s="15" t="s">
        <v>634</v>
      </c>
      <c r="B69" s="11" t="s">
        <v>18</v>
      </c>
      <c r="C69" s="15">
        <f t="shared" ref="C69:K69" si="1">SUM(C56:C68)</f>
        <v>12</v>
      </c>
      <c r="D69" s="15">
        <f t="shared" si="1"/>
        <v>1</v>
      </c>
      <c r="E69" s="15">
        <f t="shared" si="1"/>
        <v>25</v>
      </c>
      <c r="F69" s="15">
        <f t="shared" si="1"/>
        <v>2</v>
      </c>
      <c r="G69" s="15">
        <f t="shared" si="1"/>
        <v>3</v>
      </c>
      <c r="H69" s="15">
        <f t="shared" si="1"/>
        <v>13</v>
      </c>
      <c r="I69" s="15">
        <f t="shared" si="1"/>
        <v>1</v>
      </c>
      <c r="J69" s="15">
        <f t="shared" si="1"/>
        <v>2</v>
      </c>
      <c r="K69" s="15">
        <f t="shared" si="1"/>
        <v>59</v>
      </c>
    </row>
  </sheetData>
  <mergeCells count="8">
    <mergeCell ref="A36:C36"/>
    <mergeCell ref="A45:D45"/>
    <mergeCell ref="A54:J54"/>
    <mergeCell ref="A1:F1"/>
    <mergeCell ref="A2:F2"/>
    <mergeCell ref="A4:F4"/>
    <mergeCell ref="A15:E15"/>
    <mergeCell ref="A29:C29"/>
  </mergeCells>
  <pageMargins left="0.4" right="0.4" top="0.5" bottom="0.5" header="0.511811023622047" footer="0.5"/>
  <pageSetup paperSize="5" fitToHeight="0" orientation="landscape" horizontalDpi="300" verticalDpi="300"/>
  <headerFooter>
    <oddFooter>&amp;C&amp;8 Pastoreando · GA9-220501096-AA3-EV01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0"/>
  <sheetViews>
    <sheetView zoomScaleNormal="100" workbookViewId="0">
      <pane xSplit="2" ySplit="4" topLeftCell="C11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4.4" x14ac:dyDescent="0.3"/>
  <cols>
    <col min="1" max="1" width="13" customWidth="1"/>
    <col min="2" max="2" width="44" customWidth="1"/>
    <col min="3" max="3" width="22" customWidth="1"/>
    <col min="4" max="4" width="12" customWidth="1"/>
    <col min="5" max="5" width="11" customWidth="1"/>
    <col min="6" max="6" width="12" customWidth="1"/>
    <col min="7" max="7" width="13" customWidth="1"/>
    <col min="8" max="9" width="12" customWidth="1"/>
    <col min="10" max="10" width="24" customWidth="1"/>
    <col min="11" max="11" width="40" customWidth="1"/>
  </cols>
  <sheetData>
    <row r="1" spans="1:11" ht="27.75" customHeight="1" x14ac:dyDescent="0.3">
      <c r="A1" s="5" t="s">
        <v>648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7.75" customHeight="1" x14ac:dyDescent="0.3">
      <c r="A2" s="4" t="s">
        <v>649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33.75" customHeight="1" x14ac:dyDescent="0.3">
      <c r="A4" s="16" t="s">
        <v>55</v>
      </c>
      <c r="B4" s="16" t="s">
        <v>633</v>
      </c>
      <c r="C4" s="16" t="s">
        <v>650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16" t="s">
        <v>23</v>
      </c>
      <c r="J4" s="16" t="s">
        <v>651</v>
      </c>
      <c r="K4" s="16" t="s">
        <v>652</v>
      </c>
    </row>
    <row r="5" spans="1:11" ht="26.4" x14ac:dyDescent="0.3">
      <c r="A5" s="18" t="s">
        <v>136</v>
      </c>
      <c r="B5" s="12" t="s">
        <v>635</v>
      </c>
      <c r="C5" s="13" t="s">
        <v>653</v>
      </c>
      <c r="D5" s="18">
        <f>COUNTIF('Casos de prueba'!$D$5:$D$200,$A5)</f>
        <v>9</v>
      </c>
      <c r="E5" s="13">
        <f>COUNTIFS('Casos de prueba'!$D$5:$D$200,$A5,'Casos de prueba'!$G$5:$G$200,"Crítica")</f>
        <v>5</v>
      </c>
      <c r="F5" s="13">
        <f>COUNTIFS('Casos de prueba'!$D$5:$D$200,$A5,'Casos de prueba'!$Q$5:$Q$200,"Aprobado")</f>
        <v>9</v>
      </c>
      <c r="G5" s="13">
        <f>COUNTIFS('Casos de prueba'!$D$5:$D$200,$A5,'Casos de prueba'!$Q$5:$Q$200,"En seguimiento")</f>
        <v>0</v>
      </c>
      <c r="H5" s="13">
        <f>COUNTIFS('Casos de prueba'!$D$5:$D$200,$A5,'Casos de prueba'!$Q$5:$Q$200,"Rechazado")</f>
        <v>0</v>
      </c>
      <c r="I5" s="13">
        <f t="shared" ref="I5:I17" si="0">D5-F5-G5-H5</f>
        <v>0</v>
      </c>
      <c r="J5" s="18" t="str">
        <f t="shared" ref="J5:J17" si="1">IF(D5=0,"Sin caso",IF(I5=D5,"Diseñado, sin ejecutar",IF(H5+G5&gt;0,"Con novedades",IF(I5&gt;0,"Parcial","Aprobado"))))</f>
        <v>Aprobado</v>
      </c>
      <c r="K5" s="12" t="s">
        <v>654</v>
      </c>
    </row>
    <row r="6" spans="1:11" x14ac:dyDescent="0.3">
      <c r="A6" s="15" t="s">
        <v>75</v>
      </c>
      <c r="B6" s="23" t="s">
        <v>636</v>
      </c>
      <c r="C6" s="24" t="s">
        <v>653</v>
      </c>
      <c r="D6" s="15">
        <f>COUNTIF('Casos de prueba'!$D$5:$D$200,$A6)</f>
        <v>5</v>
      </c>
      <c r="E6" s="24">
        <f>COUNTIFS('Casos de prueba'!$D$5:$D$200,$A6,'Casos de prueba'!$G$5:$G$200,"Crítica")</f>
        <v>3</v>
      </c>
      <c r="F6" s="24">
        <f>COUNTIFS('Casos de prueba'!$D$5:$D$200,$A6,'Casos de prueba'!$Q$5:$Q$200,"Aprobado")</f>
        <v>5</v>
      </c>
      <c r="G6" s="24">
        <f>COUNTIFS('Casos de prueba'!$D$5:$D$200,$A6,'Casos de prueba'!$Q$5:$Q$200,"En seguimiento")</f>
        <v>0</v>
      </c>
      <c r="H6" s="24">
        <f>COUNTIFS('Casos de prueba'!$D$5:$D$200,$A6,'Casos de prueba'!$Q$5:$Q$200,"Rechazado")</f>
        <v>0</v>
      </c>
      <c r="I6" s="24">
        <f t="shared" si="0"/>
        <v>0</v>
      </c>
      <c r="J6" s="15" t="str">
        <f t="shared" si="1"/>
        <v>Aprobado</v>
      </c>
      <c r="K6" s="23" t="s">
        <v>655</v>
      </c>
    </row>
    <row r="7" spans="1:11" x14ac:dyDescent="0.3">
      <c r="A7" s="18" t="s">
        <v>107</v>
      </c>
      <c r="B7" s="12" t="s">
        <v>637</v>
      </c>
      <c r="C7" s="13" t="s">
        <v>653</v>
      </c>
      <c r="D7" s="18">
        <f>COUNTIF('Casos de prueba'!$D$5:$D$200,$A7)</f>
        <v>2</v>
      </c>
      <c r="E7" s="13">
        <f>COUNTIFS('Casos de prueba'!$D$5:$D$200,$A7,'Casos de prueba'!$G$5:$G$200,"Crítica")</f>
        <v>0</v>
      </c>
      <c r="F7" s="13">
        <f>COUNTIFS('Casos de prueba'!$D$5:$D$200,$A7,'Casos de prueba'!$Q$5:$Q$200,"Aprobado")</f>
        <v>2</v>
      </c>
      <c r="G7" s="13">
        <f>COUNTIFS('Casos de prueba'!$D$5:$D$200,$A7,'Casos de prueba'!$Q$5:$Q$200,"En seguimiento")</f>
        <v>0</v>
      </c>
      <c r="H7" s="13">
        <f>COUNTIFS('Casos de prueba'!$D$5:$D$200,$A7,'Casos de prueba'!$Q$5:$Q$200,"Rechazado")</f>
        <v>0</v>
      </c>
      <c r="I7" s="13">
        <f t="shared" si="0"/>
        <v>0</v>
      </c>
      <c r="J7" s="18" t="str">
        <f t="shared" si="1"/>
        <v>Aprobado</v>
      </c>
      <c r="K7" s="12" t="s">
        <v>656</v>
      </c>
    </row>
    <row r="8" spans="1:11" x14ac:dyDescent="0.3">
      <c r="A8" s="15" t="s">
        <v>342</v>
      </c>
      <c r="B8" s="23" t="s">
        <v>638</v>
      </c>
      <c r="C8" s="24" t="s">
        <v>653</v>
      </c>
      <c r="D8" s="15">
        <f>COUNTIF('Casos de prueba'!$D$5:$D$200,$A8)</f>
        <v>2</v>
      </c>
      <c r="E8" s="24">
        <f>COUNTIFS('Casos de prueba'!$D$5:$D$200,$A8,'Casos de prueba'!$G$5:$G$200,"Crítica")</f>
        <v>0</v>
      </c>
      <c r="F8" s="24">
        <f>COUNTIFS('Casos de prueba'!$D$5:$D$200,$A8,'Casos de prueba'!$Q$5:$Q$200,"Aprobado")</f>
        <v>2</v>
      </c>
      <c r="G8" s="24">
        <f>COUNTIFS('Casos de prueba'!$D$5:$D$200,$A8,'Casos de prueba'!$Q$5:$Q$200,"En seguimiento")</f>
        <v>0</v>
      </c>
      <c r="H8" s="24">
        <f>COUNTIFS('Casos de prueba'!$D$5:$D$200,$A8,'Casos de prueba'!$Q$5:$Q$200,"Rechazado")</f>
        <v>0</v>
      </c>
      <c r="I8" s="24">
        <f t="shared" si="0"/>
        <v>0</v>
      </c>
      <c r="J8" s="15" t="str">
        <f t="shared" si="1"/>
        <v>Aprobado</v>
      </c>
      <c r="K8" s="23" t="s">
        <v>657</v>
      </c>
    </row>
    <row r="9" spans="1:11" ht="26.4" x14ac:dyDescent="0.3">
      <c r="A9" s="18" t="s">
        <v>189</v>
      </c>
      <c r="B9" s="12" t="s">
        <v>639</v>
      </c>
      <c r="C9" s="13" t="s">
        <v>653</v>
      </c>
      <c r="D9" s="18">
        <f>COUNTIF('Casos de prueba'!$D$5:$D$200,$A9)</f>
        <v>8</v>
      </c>
      <c r="E9" s="13">
        <f>COUNTIFS('Casos de prueba'!$D$5:$D$200,$A9,'Casos de prueba'!$G$5:$G$200,"Crítica")</f>
        <v>3</v>
      </c>
      <c r="F9" s="13">
        <f>COUNTIFS('Casos de prueba'!$D$5:$D$200,$A9,'Casos de prueba'!$Q$5:$Q$200,"Aprobado")</f>
        <v>8</v>
      </c>
      <c r="G9" s="13">
        <f>COUNTIFS('Casos de prueba'!$D$5:$D$200,$A9,'Casos de prueba'!$Q$5:$Q$200,"En seguimiento")</f>
        <v>0</v>
      </c>
      <c r="H9" s="13">
        <f>COUNTIFS('Casos de prueba'!$D$5:$D$200,$A9,'Casos de prueba'!$Q$5:$Q$200,"Rechazado")</f>
        <v>0</v>
      </c>
      <c r="I9" s="13">
        <f t="shared" si="0"/>
        <v>0</v>
      </c>
      <c r="J9" s="18" t="str">
        <f t="shared" si="1"/>
        <v>Aprobado</v>
      </c>
      <c r="K9" s="12" t="s">
        <v>658</v>
      </c>
    </row>
    <row r="10" spans="1:11" ht="26.4" x14ac:dyDescent="0.3">
      <c r="A10" s="15" t="s">
        <v>237</v>
      </c>
      <c r="B10" s="23" t="s">
        <v>640</v>
      </c>
      <c r="C10" s="24" t="s">
        <v>653</v>
      </c>
      <c r="D10" s="15">
        <f>COUNTIF('Casos de prueba'!$D$5:$D$200,$A10)</f>
        <v>10</v>
      </c>
      <c r="E10" s="24">
        <f>COUNTIFS('Casos de prueba'!$D$5:$D$200,$A10,'Casos de prueba'!$G$5:$G$200,"Crítica")</f>
        <v>3</v>
      </c>
      <c r="F10" s="24">
        <f>COUNTIFS('Casos de prueba'!$D$5:$D$200,$A10,'Casos de prueba'!$Q$5:$Q$200,"Aprobado")</f>
        <v>10</v>
      </c>
      <c r="G10" s="24">
        <f>COUNTIFS('Casos de prueba'!$D$5:$D$200,$A10,'Casos de prueba'!$Q$5:$Q$200,"En seguimiento")</f>
        <v>0</v>
      </c>
      <c r="H10" s="24">
        <f>COUNTIFS('Casos de prueba'!$D$5:$D$200,$A10,'Casos de prueba'!$Q$5:$Q$200,"Rechazado")</f>
        <v>0</v>
      </c>
      <c r="I10" s="24">
        <f t="shared" si="0"/>
        <v>0</v>
      </c>
      <c r="J10" s="15" t="str">
        <f t="shared" si="1"/>
        <v>Aprobado</v>
      </c>
      <c r="K10" s="23" t="s">
        <v>659</v>
      </c>
    </row>
    <row r="11" spans="1:11" ht="26.4" x14ac:dyDescent="0.3">
      <c r="A11" s="18" t="s">
        <v>297</v>
      </c>
      <c r="B11" s="12" t="s">
        <v>641</v>
      </c>
      <c r="C11" s="13" t="s">
        <v>653</v>
      </c>
      <c r="D11" s="18">
        <f>COUNTIF('Casos de prueba'!$D$5:$D$200,$A11)</f>
        <v>4</v>
      </c>
      <c r="E11" s="13">
        <f>COUNTIFS('Casos de prueba'!$D$5:$D$200,$A11,'Casos de prueba'!$G$5:$G$200,"Crítica")</f>
        <v>1</v>
      </c>
      <c r="F11" s="13">
        <f>COUNTIFS('Casos de prueba'!$D$5:$D$200,$A11,'Casos de prueba'!$Q$5:$Q$200,"Aprobado")</f>
        <v>4</v>
      </c>
      <c r="G11" s="13">
        <f>COUNTIFS('Casos de prueba'!$D$5:$D$200,$A11,'Casos de prueba'!$Q$5:$Q$200,"En seguimiento")</f>
        <v>0</v>
      </c>
      <c r="H11" s="13">
        <f>COUNTIFS('Casos de prueba'!$D$5:$D$200,$A11,'Casos de prueba'!$Q$5:$Q$200,"Rechazado")</f>
        <v>0</v>
      </c>
      <c r="I11" s="13">
        <f t="shared" si="0"/>
        <v>0</v>
      </c>
      <c r="J11" s="18" t="str">
        <f t="shared" si="1"/>
        <v>Aprobado</v>
      </c>
      <c r="K11" s="12" t="s">
        <v>660</v>
      </c>
    </row>
    <row r="12" spans="1:11" x14ac:dyDescent="0.3">
      <c r="A12" s="15" t="s">
        <v>433</v>
      </c>
      <c r="B12" s="23" t="s">
        <v>642</v>
      </c>
      <c r="C12" s="24" t="s">
        <v>661</v>
      </c>
      <c r="D12" s="15">
        <f>COUNTIF('Casos de prueba'!$D$5:$D$200,$A12)</f>
        <v>1</v>
      </c>
      <c r="E12" s="24">
        <f>COUNTIFS('Casos de prueba'!$D$5:$D$200,$A12,'Casos de prueba'!$G$5:$G$200,"Crítica")</f>
        <v>0</v>
      </c>
      <c r="F12" s="24">
        <f>COUNTIFS('Casos de prueba'!$D$5:$D$200,$A12,'Casos de prueba'!$Q$5:$Q$200,"Aprobado")</f>
        <v>0</v>
      </c>
      <c r="G12" s="24">
        <f>COUNTIFS('Casos de prueba'!$D$5:$D$200,$A12,'Casos de prueba'!$Q$5:$Q$200,"En seguimiento")</f>
        <v>0</v>
      </c>
      <c r="H12" s="24">
        <f>COUNTIFS('Casos de prueba'!$D$5:$D$200,$A12,'Casos de prueba'!$Q$5:$Q$200,"Rechazado")</f>
        <v>0</v>
      </c>
      <c r="I12" s="24">
        <f t="shared" si="0"/>
        <v>1</v>
      </c>
      <c r="J12" s="15" t="str">
        <f t="shared" si="1"/>
        <v>Diseñado, sin ejecutar</v>
      </c>
      <c r="K12" s="23" t="s">
        <v>431</v>
      </c>
    </row>
    <row r="13" spans="1:11" x14ac:dyDescent="0.3">
      <c r="A13" s="18" t="s">
        <v>441</v>
      </c>
      <c r="B13" s="12" t="s">
        <v>643</v>
      </c>
      <c r="C13" s="13" t="s">
        <v>661</v>
      </c>
      <c r="D13" s="18">
        <f>COUNTIF('Casos de prueba'!$D$5:$D$200,$A13)</f>
        <v>1</v>
      </c>
      <c r="E13" s="13">
        <f>COUNTIFS('Casos de prueba'!$D$5:$D$200,$A13,'Casos de prueba'!$G$5:$G$200,"Crítica")</f>
        <v>0</v>
      </c>
      <c r="F13" s="13">
        <f>COUNTIFS('Casos de prueba'!$D$5:$D$200,$A13,'Casos de prueba'!$Q$5:$Q$200,"Aprobado")</f>
        <v>0</v>
      </c>
      <c r="G13" s="13">
        <f>COUNTIFS('Casos de prueba'!$D$5:$D$200,$A13,'Casos de prueba'!$Q$5:$Q$200,"En seguimiento")</f>
        <v>0</v>
      </c>
      <c r="H13" s="13">
        <f>COUNTIFS('Casos de prueba'!$D$5:$D$200,$A13,'Casos de prueba'!$Q$5:$Q$200,"Rechazado")</f>
        <v>0</v>
      </c>
      <c r="I13" s="13">
        <f t="shared" si="0"/>
        <v>1</v>
      </c>
      <c r="J13" s="18" t="str">
        <f t="shared" si="1"/>
        <v>Diseñado, sin ejecutar</v>
      </c>
      <c r="K13" s="12" t="s">
        <v>439</v>
      </c>
    </row>
    <row r="14" spans="1:11" x14ac:dyDescent="0.3">
      <c r="A14" s="15" t="s">
        <v>316</v>
      </c>
      <c r="B14" s="23" t="s">
        <v>644</v>
      </c>
      <c r="C14" s="24" t="s">
        <v>653</v>
      </c>
      <c r="D14" s="15">
        <f>COUNTIF('Casos de prueba'!$D$5:$D$200,$A14)</f>
        <v>3</v>
      </c>
      <c r="E14" s="24">
        <f>COUNTIFS('Casos de prueba'!$D$5:$D$200,$A14,'Casos de prueba'!$G$5:$G$200,"Crítica")</f>
        <v>0</v>
      </c>
      <c r="F14" s="24">
        <f>COUNTIFS('Casos de prueba'!$D$5:$D$200,$A14,'Casos de prueba'!$Q$5:$Q$200,"Aprobado")</f>
        <v>3</v>
      </c>
      <c r="G14" s="24">
        <f>COUNTIFS('Casos de prueba'!$D$5:$D$200,$A14,'Casos de prueba'!$Q$5:$Q$200,"En seguimiento")</f>
        <v>0</v>
      </c>
      <c r="H14" s="24">
        <f>COUNTIFS('Casos de prueba'!$D$5:$D$200,$A14,'Casos de prueba'!$Q$5:$Q$200,"Rechazado")</f>
        <v>0</v>
      </c>
      <c r="I14" s="24">
        <f t="shared" si="0"/>
        <v>0</v>
      </c>
      <c r="J14" s="15" t="str">
        <f t="shared" si="1"/>
        <v>Aprobado</v>
      </c>
      <c r="K14" s="23" t="s">
        <v>662</v>
      </c>
    </row>
    <row r="15" spans="1:11" x14ac:dyDescent="0.3">
      <c r="A15" s="18" t="s">
        <v>360</v>
      </c>
      <c r="B15" s="12" t="s">
        <v>645</v>
      </c>
      <c r="C15" s="13" t="s">
        <v>663</v>
      </c>
      <c r="D15" s="18">
        <f>COUNTIF('Casos de prueba'!$D$5:$D$200,$A15)</f>
        <v>5</v>
      </c>
      <c r="E15" s="13">
        <f>COUNTIFS('Casos de prueba'!$D$5:$D$200,$A15,'Casos de prueba'!$G$5:$G$200,"Crítica")</f>
        <v>0</v>
      </c>
      <c r="F15" s="13">
        <f>COUNTIFS('Casos de prueba'!$D$5:$D$200,$A15,'Casos de prueba'!$Q$5:$Q$200,"Aprobado")</f>
        <v>4</v>
      </c>
      <c r="G15" s="13">
        <f>COUNTIFS('Casos de prueba'!$D$5:$D$200,$A15,'Casos de prueba'!$Q$5:$Q$200,"En seguimiento")</f>
        <v>0</v>
      </c>
      <c r="H15" s="13">
        <f>COUNTIFS('Casos de prueba'!$D$5:$D$200,$A15,'Casos de prueba'!$Q$5:$Q$200,"Rechazado")</f>
        <v>0</v>
      </c>
      <c r="I15" s="13">
        <f t="shared" si="0"/>
        <v>1</v>
      </c>
      <c r="J15" s="18" t="str">
        <f t="shared" si="1"/>
        <v>Parcial</v>
      </c>
      <c r="K15" s="12" t="s">
        <v>664</v>
      </c>
    </row>
    <row r="16" spans="1:11" x14ac:dyDescent="0.3">
      <c r="A16" s="15" t="s">
        <v>453</v>
      </c>
      <c r="B16" s="23" t="s">
        <v>646</v>
      </c>
      <c r="C16" s="24" t="s">
        <v>661</v>
      </c>
      <c r="D16" s="15">
        <f>COUNTIF('Casos de prueba'!$D$5:$D$200,$A16)</f>
        <v>1</v>
      </c>
      <c r="E16" s="24">
        <f>COUNTIFS('Casos de prueba'!$D$5:$D$200,$A16,'Casos de prueba'!$G$5:$G$200,"Crítica")</f>
        <v>0</v>
      </c>
      <c r="F16" s="24">
        <f>COUNTIFS('Casos de prueba'!$D$5:$D$200,$A16,'Casos de prueba'!$Q$5:$Q$200,"Aprobado")</f>
        <v>0</v>
      </c>
      <c r="G16" s="24">
        <f>COUNTIFS('Casos de prueba'!$D$5:$D$200,$A16,'Casos de prueba'!$Q$5:$Q$200,"En seguimiento")</f>
        <v>0</v>
      </c>
      <c r="H16" s="24">
        <f>COUNTIFS('Casos de prueba'!$D$5:$D$200,$A16,'Casos de prueba'!$Q$5:$Q$200,"Rechazado")</f>
        <v>0</v>
      </c>
      <c r="I16" s="24">
        <f t="shared" si="0"/>
        <v>1</v>
      </c>
      <c r="J16" s="15" t="str">
        <f t="shared" si="1"/>
        <v>Diseñado, sin ejecutar</v>
      </c>
      <c r="K16" s="23" t="s">
        <v>451</v>
      </c>
    </row>
    <row r="17" spans="1:11" ht="26.4" x14ac:dyDescent="0.3">
      <c r="A17" s="18" t="s">
        <v>353</v>
      </c>
      <c r="B17" s="12" t="s">
        <v>647</v>
      </c>
      <c r="C17" s="13" t="s">
        <v>653</v>
      </c>
      <c r="D17" s="18">
        <f>COUNTIF('Casos de prueba'!$D$5:$D$200,$A17)</f>
        <v>8</v>
      </c>
      <c r="E17" s="13">
        <f>COUNTIFS('Casos de prueba'!$D$5:$D$200,$A17,'Casos de prueba'!$G$5:$G$200,"Crítica")</f>
        <v>0</v>
      </c>
      <c r="F17" s="13">
        <f>COUNTIFS('Casos de prueba'!$D$5:$D$200,$A17,'Casos de prueba'!$Q$5:$Q$200,"Aprobado")</f>
        <v>8</v>
      </c>
      <c r="G17" s="13">
        <f>COUNTIFS('Casos de prueba'!$D$5:$D$200,$A17,'Casos de prueba'!$Q$5:$Q$200,"En seguimiento")</f>
        <v>0</v>
      </c>
      <c r="H17" s="13">
        <f>COUNTIFS('Casos de prueba'!$D$5:$D$200,$A17,'Casos de prueba'!$Q$5:$Q$200,"Rechazado")</f>
        <v>0</v>
      </c>
      <c r="I17" s="13">
        <f t="shared" si="0"/>
        <v>0</v>
      </c>
      <c r="J17" s="18" t="str">
        <f t="shared" si="1"/>
        <v>Aprobado</v>
      </c>
      <c r="K17" s="12" t="s">
        <v>665</v>
      </c>
    </row>
    <row r="18" spans="1:11" x14ac:dyDescent="0.3">
      <c r="A18" s="15" t="s">
        <v>634</v>
      </c>
      <c r="B18" s="11"/>
      <c r="C18" s="11"/>
      <c r="D18" s="15">
        <f t="shared" ref="D18:I18" si="2">SUM(D5:D17)</f>
        <v>59</v>
      </c>
      <c r="E18" s="15">
        <f t="shared" si="2"/>
        <v>15</v>
      </c>
      <c r="F18" s="15">
        <f t="shared" si="2"/>
        <v>55</v>
      </c>
      <c r="G18" s="15">
        <f t="shared" si="2"/>
        <v>0</v>
      </c>
      <c r="H18" s="15">
        <f t="shared" si="2"/>
        <v>0</v>
      </c>
      <c r="I18" s="15">
        <f t="shared" si="2"/>
        <v>4</v>
      </c>
      <c r="J18" s="11"/>
      <c r="K18" s="11"/>
    </row>
    <row r="20" spans="1:11" ht="15" customHeight="1" x14ac:dyDescent="0.3">
      <c r="A20" s="1" t="s">
        <v>25</v>
      </c>
      <c r="B20" s="1"/>
      <c r="C20" s="1"/>
      <c r="D20" s="15">
        <f>COUNTIF(D5:D17,0)</f>
        <v>0</v>
      </c>
    </row>
  </sheetData>
  <mergeCells count="3">
    <mergeCell ref="A1:K1"/>
    <mergeCell ref="A2:K2"/>
    <mergeCell ref="A20:C20"/>
  </mergeCells>
  <conditionalFormatting sqref="J5:J17">
    <cfRule type="expression" dxfId="2" priority="2">
      <formula>J5="Aprobado"</formula>
    </cfRule>
    <cfRule type="expression" dxfId="1" priority="3">
      <formula>J5="Con novedades"</formula>
    </cfRule>
    <cfRule type="expression" dxfId="0" priority="4">
      <formula>J5="Sin caso"</formula>
    </cfRule>
  </conditionalFormatting>
  <pageMargins left="0.4" right="0.4" top="0.5" bottom="0.5" header="0.511811023622047" footer="0.5"/>
  <pageSetup paperSize="5" fitToHeight="0" orientation="landscape" horizontalDpi="300" verticalDpi="300"/>
  <headerFooter>
    <oddFooter>&amp;C&amp;8 Pastoreando · GA9-220501096-AA3-EV01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Normal="100" workbookViewId="0"/>
  </sheetViews>
  <sheetFormatPr baseColWidth="10" defaultColWidth="8.6640625" defaultRowHeight="14.4" x14ac:dyDescent="0.3"/>
  <cols>
    <col min="1" max="5" width="30" customWidth="1"/>
    <col min="6" max="6" width="80" customWidth="1"/>
    <col min="7" max="7" width="30" customWidth="1"/>
  </cols>
  <sheetData>
    <row r="1" spans="1:7" x14ac:dyDescent="0.3">
      <c r="A1" s="28" t="s">
        <v>68</v>
      </c>
      <c r="B1" s="28" t="s">
        <v>70</v>
      </c>
      <c r="C1" s="28" t="s">
        <v>58</v>
      </c>
      <c r="D1" s="28" t="s">
        <v>57</v>
      </c>
      <c r="E1" s="28" t="s">
        <v>666</v>
      </c>
      <c r="F1" s="28" t="s">
        <v>469</v>
      </c>
      <c r="G1" s="28" t="s">
        <v>55</v>
      </c>
    </row>
    <row r="2" spans="1:7" x14ac:dyDescent="0.3">
      <c r="A2" s="29" t="s">
        <v>86</v>
      </c>
      <c r="B2" s="29" t="s">
        <v>108</v>
      </c>
      <c r="C2" s="29" t="s">
        <v>78</v>
      </c>
      <c r="D2" s="29" t="s">
        <v>77</v>
      </c>
      <c r="E2" s="29" t="s">
        <v>101</v>
      </c>
      <c r="F2" s="29" t="s">
        <v>129</v>
      </c>
      <c r="G2" s="29" t="s">
        <v>136</v>
      </c>
    </row>
    <row r="3" spans="1:7" x14ac:dyDescent="0.3">
      <c r="A3" s="29" t="s">
        <v>21</v>
      </c>
      <c r="B3" s="29" t="s">
        <v>267</v>
      </c>
      <c r="C3" s="29" t="s">
        <v>108</v>
      </c>
      <c r="D3" s="29" t="s">
        <v>98</v>
      </c>
      <c r="E3" s="29" t="s">
        <v>400</v>
      </c>
      <c r="F3" s="29" t="s">
        <v>387</v>
      </c>
      <c r="G3" s="29" t="s">
        <v>75</v>
      </c>
    </row>
    <row r="4" spans="1:7" x14ac:dyDescent="0.3">
      <c r="A4" s="29" t="s">
        <v>667</v>
      </c>
      <c r="B4" s="29" t="s">
        <v>668</v>
      </c>
      <c r="C4" s="29" t="s">
        <v>267</v>
      </c>
      <c r="D4" s="29" t="s">
        <v>207</v>
      </c>
      <c r="E4" s="29" t="s">
        <v>427</v>
      </c>
      <c r="F4" s="29" t="s">
        <v>100</v>
      </c>
      <c r="G4" s="29" t="s">
        <v>107</v>
      </c>
    </row>
    <row r="5" spans="1:7" x14ac:dyDescent="0.3">
      <c r="B5" s="29" t="s">
        <v>87</v>
      </c>
      <c r="D5" s="29" t="s">
        <v>380</v>
      </c>
      <c r="E5" s="29" t="s">
        <v>92</v>
      </c>
      <c r="F5" s="29" t="s">
        <v>374</v>
      </c>
      <c r="G5" s="29" t="s">
        <v>342</v>
      </c>
    </row>
    <row r="6" spans="1:7" x14ac:dyDescent="0.3">
      <c r="D6" s="29" t="s">
        <v>121</v>
      </c>
      <c r="E6" s="29" t="s">
        <v>81</v>
      </c>
      <c r="F6" s="29" t="s">
        <v>399</v>
      </c>
      <c r="G6" s="29" t="s">
        <v>189</v>
      </c>
    </row>
    <row r="7" spans="1:7" x14ac:dyDescent="0.3">
      <c r="D7" s="29" t="s">
        <v>127</v>
      </c>
      <c r="E7" s="29" t="s">
        <v>130</v>
      </c>
      <c r="F7" s="29" t="s">
        <v>80</v>
      </c>
      <c r="G7" s="29" t="s">
        <v>237</v>
      </c>
    </row>
    <row r="8" spans="1:7" x14ac:dyDescent="0.3">
      <c r="D8" s="29" t="s">
        <v>291</v>
      </c>
      <c r="E8" s="29" t="s">
        <v>421</v>
      </c>
      <c r="F8" s="29" t="s">
        <v>393</v>
      </c>
      <c r="G8" s="29" t="s">
        <v>297</v>
      </c>
    </row>
    <row r="9" spans="1:7" x14ac:dyDescent="0.3">
      <c r="E9" s="29" t="s">
        <v>456</v>
      </c>
      <c r="F9" s="29" t="s">
        <v>420</v>
      </c>
      <c r="G9" s="29" t="s">
        <v>433</v>
      </c>
    </row>
    <row r="10" spans="1:7" x14ac:dyDescent="0.3">
      <c r="G10" s="29" t="s">
        <v>441</v>
      </c>
    </row>
    <row r="11" spans="1:7" x14ac:dyDescent="0.3">
      <c r="G11" s="29" t="s">
        <v>316</v>
      </c>
    </row>
    <row r="12" spans="1:7" x14ac:dyDescent="0.3">
      <c r="G12" s="29" t="s">
        <v>360</v>
      </c>
    </row>
    <row r="13" spans="1:7" x14ac:dyDescent="0.3">
      <c r="G13" s="29" t="s">
        <v>453</v>
      </c>
    </row>
    <row r="14" spans="1:7" x14ac:dyDescent="0.3">
      <c r="G14" s="29" t="s">
        <v>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Portada</vt:lpstr>
      <vt:lpstr>Casos de prueba</vt:lpstr>
      <vt:lpstr>Ficha de caso</vt:lpstr>
      <vt:lpstr>Ambiente de pruebas</vt:lpstr>
      <vt:lpstr>Trazabilidad</vt:lpstr>
      <vt:lpstr>Listas</vt:lpstr>
      <vt:lpstr>'Ficha de caso'!Área_de_impresión</vt:lpstr>
      <vt:lpstr>'Casos de prueba'!Títulos_a_imprimir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de casos de prueba - Pastoreando (GA9-220501096-AA3-EV01)</dc:title>
  <dc:subject/>
  <dc:creator>Brayian Jhovany Piedrahita Cortes</dc:creator>
  <dc:description/>
  <cp:lastModifiedBy>brian piedrahita</cp:lastModifiedBy>
  <cp:revision>0</cp:revision>
  <dcterms:created xsi:type="dcterms:W3CDTF">2026-10-26T02:39:05Z</dcterms:created>
  <dcterms:modified xsi:type="dcterms:W3CDTF">2026-10-26T03:38:53Z</dcterms:modified>
  <dc:language>en-US</dc:language>
</cp:coreProperties>
</file>